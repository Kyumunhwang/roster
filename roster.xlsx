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project\20260403\"/>
    </mc:Choice>
  </mc:AlternateContent>
  <xr:revisionPtr revIDLastSave="0" documentId="13_ncr:1_{7D8F5EFE-2EAC-4F3A-A75D-3ED1E50C418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ternational(국제)" sheetId="1" r:id="rId1"/>
    <sheet name="roster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2" i="1" l="1"/>
  <c r="B135" i="1"/>
  <c r="B124" i="1"/>
  <c r="B105" i="1"/>
  <c r="B88" i="1"/>
  <c r="B76" i="1"/>
  <c r="B62" i="1"/>
  <c r="B51" i="1"/>
  <c r="B43" i="1"/>
  <c r="B31" i="1"/>
  <c r="B20" i="1"/>
  <c r="B12" i="1"/>
  <c r="B5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5" authorId="0" shapeId="0" xr:uid="{00000000-0006-0000-0000-000001000000}">
      <text>
        <r>
          <rPr>
            <sz val="10"/>
            <color rgb="FF000000"/>
            <rFont val="Calibri"/>
            <scheme val="minor"/>
          </rPr>
          <t>할머님 전화번호</t>
        </r>
      </text>
    </comment>
    <comment ref="R13" authorId="0" shapeId="0" xr:uid="{00000000-0006-0000-0000-000002000000}">
      <text>
        <r>
          <rPr>
            <sz val="10"/>
            <color rgb="FF000000"/>
            <rFont val="Calibri"/>
            <scheme val="minor"/>
          </rPr>
          <t>모든 문자 아빠에게도 보내주세요</t>
        </r>
      </text>
    </comment>
    <comment ref="Q19" authorId="0" shapeId="0" xr:uid="{00000000-0006-0000-0000-000003000000}">
      <text>
        <r>
          <rPr>
            <sz val="10"/>
            <color rgb="FF000000"/>
            <rFont val="Calibri"/>
            <scheme val="minor"/>
          </rPr>
          <t>외할머니 연락처</t>
        </r>
      </text>
    </comment>
    <comment ref="S90" authorId="0" shapeId="0" xr:uid="{00000000-0006-0000-0000-000004000000}">
      <text>
        <r>
          <rPr>
            <sz val="10"/>
            <color rgb="FF000000"/>
            <rFont val="Calibri"/>
            <scheme val="minor"/>
          </rPr>
          <t>이모님 : 010-9445-8870</t>
        </r>
      </text>
    </comment>
    <comment ref="E133" authorId="0" shapeId="0" xr:uid="{00000000-0006-0000-0000-000005000000}">
      <text>
        <r>
          <rPr>
            <sz val="10"/>
            <color rgb="FF000000"/>
            <rFont val="Calibri"/>
            <scheme val="minor"/>
          </rPr>
          <t>이혼가정입니다. 어머님과 함께 살고 있습니다.</t>
        </r>
      </text>
    </comment>
    <comment ref="E134" authorId="0" shapeId="0" xr:uid="{00000000-0006-0000-0000-000006000000}">
      <text>
        <r>
          <rPr>
            <sz val="10"/>
            <color rgb="FF000000"/>
            <rFont val="Calibri"/>
            <scheme val="minor"/>
          </rPr>
          <t>아버님 별세하셨습니다.</t>
        </r>
      </text>
    </comment>
    <comment ref="N134" authorId="0" shapeId="0" xr:uid="{00000000-0006-0000-0000-000007000000}">
      <text>
        <r>
          <rPr>
            <sz val="10"/>
            <color rgb="FF000000"/>
            <rFont val="Calibri"/>
            <scheme val="minor"/>
          </rPr>
          <t>아버님 별세하셨습니다.</t>
        </r>
      </text>
    </comment>
    <comment ref="N274" authorId="0" shapeId="0" xr:uid="{00000000-0006-0000-0000-000008000000}">
      <text>
        <r>
          <rPr>
            <sz val="10"/>
            <color rgb="FF000000"/>
            <rFont val="Calibri"/>
            <scheme val="minor"/>
          </rPr>
          <t>아버님 별세하셨습니다.</t>
        </r>
      </text>
    </comment>
    <comment ref="Q277" authorId="0" shapeId="0" xr:uid="{00000000-0006-0000-0000-000009000000}">
      <text>
        <r>
          <rPr>
            <sz val="10"/>
            <color rgb="FF000000"/>
            <rFont val="Calibri"/>
            <scheme val="minor"/>
          </rPr>
          <t>외할머니 연락처</t>
        </r>
      </text>
    </comment>
    <comment ref="E299" authorId="0" shapeId="0" xr:uid="{00000000-0006-0000-0000-00000A000000}">
      <text>
        <r>
          <rPr>
            <sz val="10"/>
            <color rgb="FF000000"/>
            <rFont val="Calibri"/>
            <scheme val="minor"/>
          </rPr>
          <t>이혼가정입니다. 어머님과 함께 살고 있습니다.</t>
        </r>
      </text>
    </comment>
    <comment ref="E332" authorId="0" shapeId="0" xr:uid="{00000000-0006-0000-0000-00000B000000}">
      <text>
        <r>
          <rPr>
            <sz val="10"/>
            <color rgb="FF000000"/>
            <rFont val="Calibri"/>
            <scheme val="minor"/>
          </rPr>
          <t>미국시민권자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00000000-0006-0000-0400-000001000000}">
      <text>
        <r>
          <rPr>
            <sz val="10"/>
            <color rgb="FF000000"/>
            <rFont val="Calibri"/>
            <scheme val="minor"/>
          </rPr>
          <t>======
ID#AAAAbQyHxJo
    (2022-06-30 01:12:02)
출석교회 및 목사님 추천서 받아야함</t>
        </r>
      </text>
    </comment>
  </commentList>
</comments>
</file>

<file path=xl/sharedStrings.xml><?xml version="1.0" encoding="utf-8"?>
<sst xmlns="http://schemas.openxmlformats.org/spreadsheetml/2006/main" count="7229" uniqueCount="3496">
  <si>
    <t>2025 Fall Semester Student Roster</t>
  </si>
  <si>
    <t>: Last update</t>
  </si>
  <si>
    <t> </t>
  </si>
  <si>
    <t>Grade</t>
  </si>
  <si>
    <t>Homeroom
Teacher</t>
  </si>
  <si>
    <t>Remark</t>
  </si>
  <si>
    <t>Name (이름)</t>
  </si>
  <si>
    <t xml:space="preserve">Name on Passport </t>
  </si>
  <si>
    <t>English Name</t>
  </si>
  <si>
    <t>Student ID / Engrade ID</t>
  </si>
  <si>
    <t>ZIPCODE</t>
  </si>
  <si>
    <t>Address</t>
  </si>
  <si>
    <t>Gender</t>
  </si>
  <si>
    <t>Date of Birth</t>
  </si>
  <si>
    <t>Father</t>
  </si>
  <si>
    <t>Mother</t>
  </si>
  <si>
    <t>E-mail</t>
  </si>
  <si>
    <t>Phone #</t>
  </si>
  <si>
    <t>Cell Phone #</t>
  </si>
  <si>
    <t>Etc.</t>
  </si>
  <si>
    <t>Remark(s)</t>
  </si>
  <si>
    <t>Student</t>
  </si>
  <si>
    <t>Admission
Date</t>
  </si>
  <si>
    <t>School Bus</t>
  </si>
  <si>
    <t>School Hoodie</t>
  </si>
  <si>
    <t>School T-shirt</t>
  </si>
  <si>
    <t>ID Card</t>
  </si>
  <si>
    <t>Jenny An</t>
  </si>
  <si>
    <t>이지수</t>
  </si>
  <si>
    <t>JISOO LEE</t>
  </si>
  <si>
    <t>Jisoo</t>
  </si>
  <si>
    <t>2025S1389</t>
  </si>
  <si>
    <t>10416</t>
  </si>
  <si>
    <t>경기도 고양시 일산동구 강송로 156 203동1502호</t>
  </si>
  <si>
    <t>F</t>
  </si>
  <si>
    <t>T1</t>
  </si>
  <si>
    <t>2020.06.11</t>
  </si>
  <si>
    <t>이정모</t>
  </si>
  <si>
    <t>공나실</t>
  </si>
  <si>
    <t>medicherb.yuhs@gmail.com, ch20705@naver.com</t>
  </si>
  <si>
    <t>010-2375-2012</t>
  </si>
  <si>
    <t>010-2029-8567</t>
  </si>
  <si>
    <t>010-9970-3374</t>
  </si>
  <si>
    <t>2025.2.3</t>
  </si>
  <si>
    <t>Test date: 2025.1.22</t>
  </si>
  <si>
    <t>정지용</t>
  </si>
  <si>
    <t>JIYONG JEONG</t>
  </si>
  <si>
    <t>Danny</t>
  </si>
  <si>
    <t>2025F1416</t>
  </si>
  <si>
    <t>10895</t>
  </si>
  <si>
    <t>경기도 파주시 가람로 116번길 130, 709동 201호</t>
  </si>
  <si>
    <t>M</t>
  </si>
  <si>
    <t>2020.2.23</t>
  </si>
  <si>
    <t>정성광</t>
  </si>
  <si>
    <t>김지이</t>
  </si>
  <si>
    <t>truezone703@naver.com, kjeeyee@gmail.com</t>
  </si>
  <si>
    <t>010-6330-8301</t>
  </si>
  <si>
    <t>010-2978-2805</t>
  </si>
  <si>
    <t>2025.8.14</t>
  </si>
  <si>
    <t>Test date: 2025.8.6</t>
  </si>
  <si>
    <t>평아윤</t>
  </si>
  <si>
    <t>AHYOON PYUNG</t>
  </si>
  <si>
    <t>Lucy</t>
  </si>
  <si>
    <t>2025F1415</t>
  </si>
  <si>
    <t>10905</t>
  </si>
  <si>
    <t>파주시 한울로 101, 411동 403호 (동패동, 한울마을 4단지)</t>
  </si>
  <si>
    <t>2019.10.3</t>
  </si>
  <si>
    <t>평상규</t>
  </si>
  <si>
    <t>김민진</t>
  </si>
  <si>
    <t>onlyta73@naver.com</t>
  </si>
  <si>
    <t>010-9299-9319</t>
  </si>
  <si>
    <t>010-4232-7899</t>
  </si>
  <si>
    <t>이지호</t>
  </si>
  <si>
    <t>JIHO LEE</t>
  </si>
  <si>
    <t>Jiho</t>
  </si>
  <si>
    <t>2025F1414</t>
  </si>
  <si>
    <t>경기도 파주시 미래로 345 삼부르네상스 705동 504호</t>
  </si>
  <si>
    <t>2020.5.4</t>
  </si>
  <si>
    <t>이만구</t>
  </si>
  <si>
    <t>정인혜</t>
  </si>
  <si>
    <t>roadbox@naver.com, specialinhye@naver.com</t>
  </si>
  <si>
    <t>010-9880-0960</t>
  </si>
  <si>
    <t>010-6808-2468</t>
  </si>
  <si>
    <t>Test date: 2025.8.5</t>
  </si>
  <si>
    <t>차유솜</t>
  </si>
  <si>
    <t>YUSOM CHA</t>
  </si>
  <si>
    <t>Mark</t>
  </si>
  <si>
    <t>2025F1403</t>
  </si>
  <si>
    <t>10587</t>
  </si>
  <si>
    <t>경기도 고양시 덕양구 덕수천 1로 59 삼송스타클래스 1906동 701호</t>
  </si>
  <si>
    <t>2020.1.18</t>
  </si>
  <si>
    <t>차지명</t>
  </si>
  <si>
    <t>김소운</t>
  </si>
  <si>
    <t>herse1024@hotmail.com, galong2@naver.com</t>
  </si>
  <si>
    <t>010-3005-0050</t>
  </si>
  <si>
    <t>010-3397-1412</t>
  </si>
  <si>
    <t>Test date: 2025.7.3</t>
  </si>
  <si>
    <t>2026 Spring New Student</t>
  </si>
  <si>
    <t>이은호</t>
  </si>
  <si>
    <t>EUNHO LEE</t>
  </si>
  <si>
    <t>Eunho</t>
  </si>
  <si>
    <t>2026S1428</t>
  </si>
  <si>
    <t>10371</t>
  </si>
  <si>
    <t>경기도 고양시 일산서구 대산로 164, 문촌마을 2단지 207동 1501호</t>
  </si>
  <si>
    <t>2019.11.11</t>
  </si>
  <si>
    <t>이건희</t>
  </si>
  <si>
    <t>김진희</t>
  </si>
  <si>
    <t>ekenny714@gmail.com, jh333jh@gmail.com</t>
  </si>
  <si>
    <t>010-8764-7134</t>
  </si>
  <si>
    <t>010-8958-0922</t>
  </si>
  <si>
    <t>2026.1.26</t>
  </si>
  <si>
    <t>Test date: 2025.12.17</t>
  </si>
  <si>
    <t>김시오</t>
  </si>
  <si>
    <t>SIO KIM</t>
  </si>
  <si>
    <t>Sio</t>
  </si>
  <si>
    <t>2026S1424</t>
  </si>
  <si>
    <t>10583</t>
  </si>
  <si>
    <t>경기도 고양시 덕양구 오부자로 99, 107동 1004호</t>
  </si>
  <si>
    <t>2020.02.21</t>
  </si>
  <si>
    <t>김현호</t>
  </si>
  <si>
    <t>임미혜</t>
  </si>
  <si>
    <t>mihye0105@hanmail.net</t>
  </si>
  <si>
    <t>010-3394-4810</t>
  </si>
  <si>
    <t>010-9041-6155</t>
  </si>
  <si>
    <t>Test date : 2025.11.10</t>
  </si>
  <si>
    <t>Haelee Jin</t>
  </si>
  <si>
    <t>이재준</t>
  </si>
  <si>
    <t>JAEJUNE LEE</t>
  </si>
  <si>
    <t>Aiden</t>
  </si>
  <si>
    <t>2025S1379</t>
  </si>
  <si>
    <t>10242</t>
  </si>
  <si>
    <t>경기도 고양시 일산서구 일현로 97-11</t>
  </si>
  <si>
    <t>2018.10.08</t>
  </si>
  <si>
    <t>이종형</t>
  </si>
  <si>
    <t>허은지</t>
  </si>
  <si>
    <t>gnxpower@naver.com</t>
  </si>
  <si>
    <t>010-9242-8303</t>
  </si>
  <si>
    <t>010-9799-3688</t>
  </si>
  <si>
    <t>Test date : 2024.11.29</t>
  </si>
  <si>
    <t>오연준</t>
  </si>
  <si>
    <t>YEONJOON OH</t>
  </si>
  <si>
    <t>Joon</t>
  </si>
  <si>
    <t>2025S1381</t>
  </si>
  <si>
    <t>10305</t>
  </si>
  <si>
    <t>경기도 고양시 일산동구 숲속마을1로 116, 709동 204호</t>
  </si>
  <si>
    <t>2019.03.24</t>
  </si>
  <si>
    <t>오승환</t>
  </si>
  <si>
    <t>김혜민</t>
  </si>
  <si>
    <t>Dannenam@naver.com, gracekim10@naver.com</t>
  </si>
  <si>
    <t>010-3356-4921</t>
  </si>
  <si>
    <t>010-3074-8898</t>
  </si>
  <si>
    <t>Test date: 2024.12.18</t>
  </si>
  <si>
    <t>허예주</t>
  </si>
  <si>
    <t>YEJU HEO</t>
  </si>
  <si>
    <t>Christina</t>
  </si>
  <si>
    <t>2025S1385</t>
  </si>
  <si>
    <t>10374</t>
  </si>
  <si>
    <t>경기도 고양시 일산서구 강선로 169 건영15단지 1507동 201호</t>
  </si>
  <si>
    <t>2019.08.27</t>
  </si>
  <si>
    <t>허영진</t>
  </si>
  <si>
    <t>황의희</t>
  </si>
  <si>
    <t>gloryjin1031@naver.com, forestncloud@naver.com</t>
  </si>
  <si>
    <t>010-4549-1811</t>
  </si>
  <si>
    <t>010-3445-3652</t>
  </si>
  <si>
    <t>2025.2.13</t>
  </si>
  <si>
    <t>Test date: 2025.1.14</t>
  </si>
  <si>
    <t>김슬아</t>
  </si>
  <si>
    <t>SEUL-AH KIM</t>
  </si>
  <si>
    <t>Anna</t>
  </si>
  <si>
    <t>2025F1408</t>
  </si>
  <si>
    <t>경기도 고양시 일산서구 일현로 97-11 제니스아파트 103동 4005호</t>
  </si>
  <si>
    <t>2019.6.26</t>
  </si>
  <si>
    <t>김슬기</t>
  </si>
  <si>
    <t>오은아</t>
  </si>
  <si>
    <t>cmal123@naver.com, ohnanas@naver.com</t>
  </si>
  <si>
    <t>010-2362-0230</t>
  </si>
  <si>
    <t>010-7677-2220</t>
  </si>
  <si>
    <t>Test date: 2025.7.28</t>
  </si>
  <si>
    <t>이하진</t>
  </si>
  <si>
    <t>HAJIN LEE</t>
  </si>
  <si>
    <t>Ethan</t>
  </si>
  <si>
    <t>2026S1426</t>
  </si>
  <si>
    <t>10888</t>
  </si>
  <si>
    <t>경기도 파주시 초롱꽃로 130, 1305-1203</t>
  </si>
  <si>
    <t>2019.2.11</t>
  </si>
  <si>
    <t>이청일</t>
  </si>
  <si>
    <t>고현진</t>
  </si>
  <si>
    <t>hyungoh21@naver.com</t>
  </si>
  <si>
    <t>010-9973-8881</t>
  </si>
  <si>
    <t>Test date: 2025.12.16</t>
  </si>
  <si>
    <t>박다윗</t>
  </si>
  <si>
    <t>DAWIT PARK</t>
  </si>
  <si>
    <t>David</t>
  </si>
  <si>
    <t>2026S1433</t>
  </si>
  <si>
    <t>10902</t>
  </si>
  <si>
    <t>경기도 파주시 동패로 117, 217동 901호</t>
  </si>
  <si>
    <t>2019.3.11</t>
  </si>
  <si>
    <t>박태규</t>
  </si>
  <si>
    <t>tkofroar@naver.com, pigppig@naver.com</t>
  </si>
  <si>
    <t>010-2790-0896</t>
  </si>
  <si>
    <t>010-3015-6773</t>
  </si>
  <si>
    <t>Test date: 2026.1.5</t>
  </si>
  <si>
    <t>원예한</t>
  </si>
  <si>
    <t>YEHAN WON</t>
  </si>
  <si>
    <t>Joshua</t>
  </si>
  <si>
    <t>2026S1442</t>
  </si>
  <si>
    <t>10091</t>
  </si>
  <si>
    <t>경기도 김포시 태장로 845, 106동 2603호</t>
  </si>
  <si>
    <t>2019.6.12</t>
  </si>
  <si>
    <t>원지훈</t>
  </si>
  <si>
    <t>정세라</t>
  </si>
  <si>
    <t>jihwon@keymembers.co.kr, sera-jung@naver.com</t>
  </si>
  <si>
    <t>010-3068-6805</t>
  </si>
  <si>
    <t>010-7774-3525</t>
  </si>
  <si>
    <t>Test date: 2026.1.21</t>
  </si>
  <si>
    <t>정이든</t>
  </si>
  <si>
    <t>ETHAN JUNG</t>
  </si>
  <si>
    <t>2025S1383</t>
  </si>
  <si>
    <t>22872</t>
  </si>
  <si>
    <t>경기도 파주시 산내로26, 408-1</t>
  </si>
  <si>
    <t>2019.07.26</t>
  </si>
  <si>
    <t>정다운</t>
  </si>
  <si>
    <t>이지연</t>
  </si>
  <si>
    <t>dwjung128@daum.net, babynoa82@gmail.com</t>
  </si>
  <si>
    <t>010-8992-5786</t>
  </si>
  <si>
    <t>010-8564-5220</t>
  </si>
  <si>
    <t>010-3429-5786</t>
  </si>
  <si>
    <t>Test date: 2024.12.23</t>
  </si>
  <si>
    <t>Jinny Park</t>
  </si>
  <si>
    <t>유하민</t>
  </si>
  <si>
    <t>HAMIN RYU</t>
  </si>
  <si>
    <t>Sally</t>
  </si>
  <si>
    <t>2024S1322</t>
  </si>
  <si>
    <t>10894</t>
  </si>
  <si>
    <t>경기도 파주시 가온로 245, 동양월드 1012호 1203호</t>
  </si>
  <si>
    <t>2017.04.01</t>
  </si>
  <si>
    <t>유채훈</t>
  </si>
  <si>
    <t>양효진</t>
  </si>
  <si>
    <t>fbcogns@gmail.com, purpuryhj@naver.com</t>
  </si>
  <si>
    <t>010-7178-6088</t>
  </si>
  <si>
    <t>010-5594-6088</t>
  </si>
  <si>
    <t>2023.12.28</t>
  </si>
  <si>
    <t>Test date : 2023.11.29</t>
  </si>
  <si>
    <t>이단비</t>
  </si>
  <si>
    <t>DANBEE LEE</t>
  </si>
  <si>
    <t>DanBee</t>
  </si>
  <si>
    <t>2024F1371</t>
  </si>
  <si>
    <t>10907</t>
  </si>
  <si>
    <t>경기도 파주시 미래로 422, 한빛마을 1단지 106동 501호</t>
  </si>
  <si>
    <t>2017.11.28</t>
  </si>
  <si>
    <t>이수재</t>
  </si>
  <si>
    <t>이세실</t>
  </si>
  <si>
    <t>dmodule@naver.com, cecil0626@naver.com</t>
  </si>
  <si>
    <t>010-2782-5840</t>
  </si>
  <si>
    <t>010-3465-0626</t>
  </si>
  <si>
    <t>2024.08.21</t>
  </si>
  <si>
    <t>Test date: 2024.08.20</t>
  </si>
  <si>
    <t>허시언</t>
  </si>
  <si>
    <t>SIUN HEO</t>
  </si>
  <si>
    <t>Siun</t>
  </si>
  <si>
    <t>2025S1386</t>
  </si>
  <si>
    <t>2018.04.09</t>
  </si>
  <si>
    <t>양총총</t>
  </si>
  <si>
    <t>CONG CONG YANG</t>
  </si>
  <si>
    <t>Calvin</t>
  </si>
  <si>
    <t>2025S1388</t>
  </si>
  <si>
    <t>파주시 와동동 1471-3</t>
  </si>
  <si>
    <t>2018.07.03</t>
  </si>
  <si>
    <t>양금모</t>
  </si>
  <si>
    <t>234174417@qq.com, mala2019@naver.com</t>
  </si>
  <si>
    <t>010-5675-6015</t>
  </si>
  <si>
    <t>2025.2.4</t>
  </si>
  <si>
    <t>Test date: 2025.1.17</t>
  </si>
  <si>
    <t>김태경</t>
  </si>
  <si>
    <t>TAEGYEONG KIM</t>
  </si>
  <si>
    <t>Daniel</t>
  </si>
  <si>
    <t>2025S1390</t>
  </si>
  <si>
    <t>10360</t>
  </si>
  <si>
    <t>경기도 고양시 일산서구 일산로 487, 1802-805</t>
  </si>
  <si>
    <t>2018.05.08</t>
  </si>
  <si>
    <t>김내섭</t>
  </si>
  <si>
    <t>송민정</t>
  </si>
  <si>
    <t>kim8598634@naver.com, babasister@naver.com</t>
  </si>
  <si>
    <t>010-8780-3319</t>
  </si>
  <si>
    <t>010-5566-5275</t>
  </si>
  <si>
    <t>Test date: 2025.1.31</t>
  </si>
  <si>
    <t>김다엘</t>
  </si>
  <si>
    <t>DAEL KIM</t>
  </si>
  <si>
    <t>Dael</t>
  </si>
  <si>
    <t>2025F1410</t>
  </si>
  <si>
    <t>10301</t>
  </si>
  <si>
    <t>경기도 고양시 일산동구 애니골길 14-51, 삼성캐슬7빌리지 302호</t>
  </si>
  <si>
    <t>2018.5.29</t>
  </si>
  <si>
    <t>김진영</t>
  </si>
  <si>
    <t>김채희</t>
  </si>
  <si>
    <t>g3renergy@g3consultant.co.kr, chsposa@naver.com</t>
  </si>
  <si>
    <t>010-4621-8376</t>
  </si>
  <si>
    <t>010-3921-0238</t>
  </si>
  <si>
    <t>정유찬</t>
  </si>
  <si>
    <t>YUCHAN CHUNG</t>
  </si>
  <si>
    <t>Chris</t>
  </si>
  <si>
    <t>2025F1420</t>
  </si>
  <si>
    <t>10066</t>
  </si>
  <si>
    <t>경기도 김포시 김포한강4로 471, 204동 503호</t>
  </si>
  <si>
    <t>2017.12.10</t>
  </si>
  <si>
    <t>정윤성</t>
  </si>
  <si>
    <t>박소진</t>
  </si>
  <si>
    <t>38captain@naver.com, sojinfriend@naver.com</t>
  </si>
  <si>
    <t>010-7377-5372</t>
  </si>
  <si>
    <t>010-2042-7254</t>
  </si>
  <si>
    <t>010-2136-7254</t>
  </si>
  <si>
    <t>2025.9.15</t>
  </si>
  <si>
    <t>Test date : 2025.9.12</t>
  </si>
  <si>
    <t>박찬혁</t>
  </si>
  <si>
    <t>CHANHYEOK PARK</t>
  </si>
  <si>
    <t>Robin</t>
  </si>
  <si>
    <t>2026S1439</t>
  </si>
  <si>
    <t>10306</t>
  </si>
  <si>
    <t>경기도 고양시 일산동구 숲속마을1로 87(507동 403호)</t>
  </si>
  <si>
    <t>2018.08.08</t>
  </si>
  <si>
    <t>박경재</t>
  </si>
  <si>
    <t>이윤정</t>
  </si>
  <si>
    <t>jerrypat@naver.com, xileguang@naver.com</t>
  </si>
  <si>
    <t>010-9992-2024</t>
  </si>
  <si>
    <t>010-3016-4716</t>
  </si>
  <si>
    <t>Test date: 2026.1.16</t>
  </si>
  <si>
    <t>신예나</t>
  </si>
  <si>
    <t>YENA SHIN</t>
  </si>
  <si>
    <t>Yena</t>
  </si>
  <si>
    <t>2026S1443</t>
  </si>
  <si>
    <t>10068</t>
  </si>
  <si>
    <t>경기도 김포시 김포한강8로 118, 408동 110호</t>
  </si>
  <si>
    <t>2018.8.5</t>
  </si>
  <si>
    <t>신진호</t>
  </si>
  <si>
    <t>김지혜</t>
  </si>
  <si>
    <t>davidchinhoshin@gmail.com, forallekinder@gmail.com</t>
  </si>
  <si>
    <t>010-8910-4262</t>
  </si>
  <si>
    <t>010-8797-4262</t>
  </si>
  <si>
    <t>Test date: 2026.1.22</t>
  </si>
  <si>
    <t>이준수</t>
  </si>
  <si>
    <t>JUNSOO LEE</t>
  </si>
  <si>
    <t>junsoo</t>
  </si>
  <si>
    <t>2026S1449</t>
  </si>
  <si>
    <t>경기도 고양시 일산서구 강송로 156 강촌한신아파트 203동 1502호</t>
  </si>
  <si>
    <t>2017.8.12</t>
  </si>
  <si>
    <t>2026.3.2</t>
  </si>
  <si>
    <t>Test date: 2026.02.26</t>
  </si>
  <si>
    <t>성혜주</t>
  </si>
  <si>
    <t>HYEJOO SUNG</t>
  </si>
  <si>
    <t>Liah</t>
  </si>
  <si>
    <t>2024F1354</t>
  </si>
  <si>
    <t>10885</t>
  </si>
  <si>
    <t>경기도 파주시 패랭이길 41</t>
  </si>
  <si>
    <t>2017.12.16</t>
  </si>
  <si>
    <t>성정수</t>
  </si>
  <si>
    <t>신유라</t>
  </si>
  <si>
    <t>susla@naver.com, ura8407@naver.com</t>
  </si>
  <si>
    <t>010-5021-1897</t>
  </si>
  <si>
    <t>010-8218-1900</t>
  </si>
  <si>
    <t>2024.08.19</t>
  </si>
  <si>
    <t>Test date: 2024.07.12</t>
  </si>
  <si>
    <t>Yunjoung Yoo</t>
  </si>
  <si>
    <t>평도윤</t>
  </si>
  <si>
    <t>DOYOON PYUNG</t>
  </si>
  <si>
    <t>Eric</t>
  </si>
  <si>
    <t>2022F0801</t>
  </si>
  <si>
    <t>경기도 파주시 한울로 101 휴먼시아한울마을 411-403</t>
  </si>
  <si>
    <t>2016.12.16</t>
  </si>
  <si>
    <t>psk070280@gmail.com , onlyta73@naver.com</t>
  </si>
  <si>
    <t>2022.08.22</t>
  </si>
  <si>
    <t>Test date: 2022.08.12</t>
  </si>
  <si>
    <t>김소은</t>
  </si>
  <si>
    <t>SOEUN KIM</t>
  </si>
  <si>
    <t>Ellie</t>
  </si>
  <si>
    <t>2023S0102</t>
  </si>
  <si>
    <t>03907</t>
  </si>
  <si>
    <t>서울 마포구 상암산로1길 24 401동 1003호</t>
  </si>
  <si>
    <t>2016.10.14</t>
  </si>
  <si>
    <t>김유환</t>
  </si>
  <si>
    <t>윤수현</t>
  </si>
  <si>
    <t>point325@gmail.com, tngus9193@gmail.com</t>
  </si>
  <si>
    <t>010-9913-1824</t>
  </si>
  <si>
    <t>010-3013-8632</t>
  </si>
  <si>
    <t>2022.12.29</t>
  </si>
  <si>
    <t>2022.12.25</t>
  </si>
  <si>
    <t>Test date: 2022.11.27</t>
  </si>
  <si>
    <t>신유아</t>
  </si>
  <si>
    <t>YOOAH XIN</t>
  </si>
  <si>
    <t>Esther</t>
  </si>
  <si>
    <t>2023S0109</t>
  </si>
  <si>
    <t>10393</t>
  </si>
  <si>
    <t>경기도 고양시 일산동구 연리지로 50 킨텍스힐스테이트레이크뷰 103-402</t>
  </si>
  <si>
    <t>2016.10.22</t>
  </si>
  <si>
    <t>신준</t>
  </si>
  <si>
    <t>김송이</t>
  </si>
  <si>
    <t>ssongei@nate.com</t>
  </si>
  <si>
    <t>010-3199-8896</t>
  </si>
  <si>
    <t>010-9345-9123</t>
  </si>
  <si>
    <t>010-8331-0191</t>
  </si>
  <si>
    <t>2023.1.18</t>
  </si>
  <si>
    <t>2023.1.25</t>
  </si>
  <si>
    <t>Test date: 2023.01.16</t>
  </si>
  <si>
    <t>강한나</t>
  </si>
  <si>
    <t>HANNA KANG</t>
  </si>
  <si>
    <t>Hanna</t>
  </si>
  <si>
    <t>2023F1306</t>
  </si>
  <si>
    <t>10891</t>
  </si>
  <si>
    <t>경기도 파주시 교하로 100, 힐스테이트 운정 923동 304호</t>
  </si>
  <si>
    <t>2017.03.09</t>
  </si>
  <si>
    <t>강진석</t>
  </si>
  <si>
    <t>이민혜</t>
  </si>
  <si>
    <t>qntks486@gmail.com, jsgonnasky@gmail.com</t>
  </si>
  <si>
    <t>070-7420-1114</t>
  </si>
  <si>
    <t>010-6488-3840</t>
  </si>
  <si>
    <t>010-6558-3630</t>
  </si>
  <si>
    <t>-</t>
  </si>
  <si>
    <t>2021.01.25</t>
  </si>
  <si>
    <t>Test date: 2023.08.02</t>
  </si>
  <si>
    <t>정이레</t>
  </si>
  <si>
    <t>JIREH JUNG</t>
  </si>
  <si>
    <t>Jireh</t>
  </si>
  <si>
    <t>2024S1319</t>
  </si>
  <si>
    <t>2017.02.02</t>
  </si>
  <si>
    <t>010-8992-5786(할머님)</t>
  </si>
  <si>
    <t>2024.1.18</t>
  </si>
  <si>
    <t xml:space="preserve">Test date : 2023.11.23                          </t>
  </si>
  <si>
    <t>김지행</t>
  </si>
  <si>
    <t>JIHAENG KIM</t>
  </si>
  <si>
    <t>Jihaeng</t>
  </si>
  <si>
    <t>2024S1336</t>
  </si>
  <si>
    <t>10235</t>
  </si>
  <si>
    <t xml:space="preserve">경기도 고양시 일산서구 하이파크3로 61 하이파크4단지 413동 102호 </t>
  </si>
  <si>
    <t>2017.8.22</t>
  </si>
  <si>
    <t>김성룡</t>
  </si>
  <si>
    <t>우주희</t>
  </si>
  <si>
    <t>worldmantoo@gmail.com, skycherry0114@gmail.com</t>
  </si>
  <si>
    <t>010-9178-0938</t>
  </si>
  <si>
    <t>010-3469-3503</t>
  </si>
  <si>
    <t>Test date : 2023.12.05</t>
  </si>
  <si>
    <t>이서우</t>
  </si>
  <si>
    <t>SUHU LEE</t>
  </si>
  <si>
    <t>Lizzy</t>
  </si>
  <si>
    <t>2024S1331</t>
  </si>
  <si>
    <t>10210</t>
  </si>
  <si>
    <t>경기도 고양시 일산서구 가좌2로 53 307동 106호</t>
  </si>
  <si>
    <t>2017.02.14</t>
  </si>
  <si>
    <t>이재원</t>
  </si>
  <si>
    <t>이영은</t>
  </si>
  <si>
    <t>lee.jaewonye@gmail.com, lee.michelleye@gmail.com</t>
  </si>
  <si>
    <t>010-9099-1145</t>
  </si>
  <si>
    <t>010-2584-9099</t>
  </si>
  <si>
    <t>Test date :2024.01.09</t>
  </si>
  <si>
    <t>한온별</t>
  </si>
  <si>
    <t>ONBYEOL HAN</t>
  </si>
  <si>
    <t>Onbyeol</t>
  </si>
  <si>
    <t>2024S1337</t>
  </si>
  <si>
    <t>10239</t>
  </si>
  <si>
    <t>경기도 고양시 탄현로 133 임광진흥 113-401</t>
  </si>
  <si>
    <t>2017.03.20</t>
  </si>
  <si>
    <t>한만희</t>
  </si>
  <si>
    <t>정선영</t>
  </si>
  <si>
    <t xml:space="preserve"> yam7355@naver.com</t>
  </si>
  <si>
    <t>010-5163-1889</t>
  </si>
  <si>
    <t>010-5153-7355</t>
  </si>
  <si>
    <t>Test date :2024.01.17</t>
  </si>
  <si>
    <t>송현석</t>
  </si>
  <si>
    <t>HYUNSEOK SONG</t>
  </si>
  <si>
    <t>Luca</t>
  </si>
  <si>
    <t>2026S1431</t>
  </si>
  <si>
    <t>22860</t>
  </si>
  <si>
    <t>인천서구 서로 3로 277, 로제비앙라포레 2809동 804호</t>
  </si>
  <si>
    <t>2016.10.19</t>
  </si>
  <si>
    <t>송동렬</t>
  </si>
  <si>
    <t>곽정하</t>
  </si>
  <si>
    <t>song0215@daum.net, ckck919@naver.com</t>
  </si>
  <si>
    <t>010-8826-9739</t>
  </si>
  <si>
    <t>010-8583-9739</t>
  </si>
  <si>
    <t>010-3612-1019</t>
  </si>
  <si>
    <t>Test date: 2025.12.18</t>
  </si>
  <si>
    <t>박하준</t>
  </si>
  <si>
    <t>DANIEL HAJOON PARK</t>
  </si>
  <si>
    <t>2026S1441</t>
  </si>
  <si>
    <t>파주시 초롱꽃로 130 디에트르 더퍼스트 1301동 903호</t>
  </si>
  <si>
    <t>2017.1.29</t>
  </si>
  <si>
    <t>박보민</t>
  </si>
  <si>
    <t>고은진</t>
  </si>
  <si>
    <t>bominpark88@gmail.com, eunjingoh@gmail.com</t>
  </si>
  <si>
    <t>010-4930-8803</t>
  </si>
  <si>
    <t>010-3125-5355</t>
  </si>
  <si>
    <t>이우림</t>
  </si>
  <si>
    <t>URIM LEE</t>
  </si>
  <si>
    <t>Urim</t>
  </si>
  <si>
    <t>2025F1421</t>
  </si>
  <si>
    <t>22647</t>
  </si>
  <si>
    <t>인천서구 원당대로 839번길 34, 708동 306호</t>
  </si>
  <si>
    <t>2016.12.28</t>
  </si>
  <si>
    <t>이은총</t>
  </si>
  <si>
    <t>김서희</t>
  </si>
  <si>
    <t>2silvergun@daum.net, s80423@naver.com</t>
  </si>
  <si>
    <t>010-2699-2080</t>
  </si>
  <si>
    <t>010-8948-0260</t>
  </si>
  <si>
    <t>010-2115-0260</t>
  </si>
  <si>
    <t>정주완</t>
  </si>
  <si>
    <t>JOOWAN JEONG</t>
  </si>
  <si>
    <t>Joowan</t>
  </si>
  <si>
    <t>2023F1297</t>
  </si>
  <si>
    <t>2017.09.12</t>
  </si>
  <si>
    <t>2023.06.28</t>
  </si>
  <si>
    <t>Test date: 2023.03.03</t>
  </si>
  <si>
    <t>Green Lim</t>
  </si>
  <si>
    <t>김로하</t>
  </si>
  <si>
    <t>LOHA KIM</t>
  </si>
  <si>
    <t>Loha</t>
  </si>
  <si>
    <t>2022F0605</t>
  </si>
  <si>
    <t>10876</t>
  </si>
  <si>
    <t>경기도 파주시 교하로 55 산내마을 5단지 505동 701호</t>
  </si>
  <si>
    <t>2016.01.06</t>
  </si>
  <si>
    <t>김동현</t>
  </si>
  <si>
    <t>안소영</t>
  </si>
  <si>
    <t>donghyunkim@yahoo.com, coramdeo517@hanmail.net, bowdown@gmail.com</t>
  </si>
  <si>
    <t>010-5555-4565</t>
  </si>
  <si>
    <t xml:space="preserve"> 010-8373-4565</t>
  </si>
  <si>
    <t>2022.06.29</t>
  </si>
  <si>
    <t>2022.08.31</t>
  </si>
  <si>
    <t>2022.06.30</t>
  </si>
  <si>
    <t>2022.09.21</t>
  </si>
  <si>
    <t>Test date: 2022.05.30</t>
  </si>
  <si>
    <t>이시아</t>
  </si>
  <si>
    <t>SIA LEE</t>
  </si>
  <si>
    <t>2022F0608</t>
  </si>
  <si>
    <t>10898</t>
  </si>
  <si>
    <t>경기도 파주시 가온로 205 (해솔마을 7단지 롯데캐슬), 709동 2702호</t>
  </si>
  <si>
    <t>2016.07.15</t>
  </si>
  <si>
    <t>이광섭</t>
  </si>
  <si>
    <t>박진희</t>
  </si>
  <si>
    <t>bluewind20@hanmail.net, pjhkum@gmail.com</t>
  </si>
  <si>
    <t>010-9085-2099</t>
  </si>
  <si>
    <t>010-2689-2176</t>
  </si>
  <si>
    <t>Test date: 2022.06.14</t>
  </si>
  <si>
    <t>이기쁨</t>
  </si>
  <si>
    <t>GIPPEUM LEE</t>
  </si>
  <si>
    <t>Cindy</t>
  </si>
  <si>
    <t>2023F1309</t>
  </si>
  <si>
    <t>일산서구 일현로97-11위브더제니스108동2304호</t>
  </si>
  <si>
    <t>2015.09.04</t>
  </si>
  <si>
    <t>이영근</t>
  </si>
  <si>
    <t>원민정</t>
  </si>
  <si>
    <t>pop1eye@naver.com</t>
  </si>
  <si>
    <t>010-9876-7005</t>
  </si>
  <si>
    <t>010-6672-7004</t>
  </si>
  <si>
    <t>010-8232-0276</t>
  </si>
  <si>
    <t>2023.08.21</t>
  </si>
  <si>
    <t>Test date : 2023.08.11</t>
  </si>
  <si>
    <t>정지민</t>
  </si>
  <si>
    <t>JIMIN JUNG</t>
  </si>
  <si>
    <t>Jenny</t>
  </si>
  <si>
    <t>2023F1313</t>
  </si>
  <si>
    <t>경기도 파주시 책향기숲길 77 윈슬카운티 610호</t>
  </si>
  <si>
    <t>2015.09.18</t>
  </si>
  <si>
    <t>정원식</t>
  </si>
  <si>
    <t>차지현</t>
  </si>
  <si>
    <t>depo0125@naver.com, ukaris@naver.com</t>
  </si>
  <si>
    <t>010-9453-3033</t>
  </si>
  <si>
    <t>010-5150-4442</t>
  </si>
  <si>
    <t>010-4960-3690</t>
  </si>
  <si>
    <t>2023.08.31</t>
  </si>
  <si>
    <t>Test date : 2023.08.30</t>
  </si>
  <si>
    <t>윤유림</t>
  </si>
  <si>
    <t>YOOLIM YOON</t>
  </si>
  <si>
    <t xml:space="preserve">Hannah </t>
  </si>
  <si>
    <t>2024S1335</t>
  </si>
  <si>
    <t>10072</t>
  </si>
  <si>
    <t>경기도 김포시 김포한강1로 309, 한신더휴테라스 1102동 406호</t>
  </si>
  <si>
    <t>2015.08.20</t>
  </si>
  <si>
    <t>윤준항</t>
  </si>
  <si>
    <t>진명희</t>
  </si>
  <si>
    <t>protein365@goodnewscorp.net, protein247@goodnewscorp.net</t>
  </si>
  <si>
    <t>010-2000-4767</t>
  </si>
  <si>
    <t>010-4757-0408</t>
  </si>
  <si>
    <t>010-8343-4767</t>
  </si>
  <si>
    <t>Test date :2024.01.18</t>
  </si>
  <si>
    <t>김아인</t>
  </si>
  <si>
    <t xml:space="preserve">AIN KIM </t>
  </si>
  <si>
    <t>Ain</t>
  </si>
  <si>
    <t>2023S0108</t>
  </si>
  <si>
    <t>경기도 파주시 청석로 350 운정동문디이스트 813-803</t>
  </si>
  <si>
    <t>2016.07.28</t>
  </si>
  <si>
    <t>김건영</t>
  </si>
  <si>
    <t>이수경</t>
  </si>
  <si>
    <t>citium153@gmail.com</t>
  </si>
  <si>
    <t>010-5015-6937</t>
  </si>
  <si>
    <t>010-5025-6937</t>
  </si>
  <si>
    <t>한예리</t>
  </si>
  <si>
    <t>YERI HAN</t>
  </si>
  <si>
    <t>2026S1447</t>
  </si>
  <si>
    <t xml:space="preserve">경기도 고양시 일산서구 일현로 97-11, 107동 1904호 (탄현동,두산위브더제니스)        </t>
  </si>
  <si>
    <t>2016.06.27</t>
  </si>
  <si>
    <t>한현진</t>
  </si>
  <si>
    <t>이지은</t>
  </si>
  <si>
    <t>hjhan@biodot.co.kr, sonnette4u@gmail.com</t>
  </si>
  <si>
    <t>010-6335-2656</t>
  </si>
  <si>
    <t>010-6272-2656</t>
  </si>
  <si>
    <t>2026.2.25</t>
  </si>
  <si>
    <t>Test date: 2026.02.20</t>
  </si>
  <si>
    <t>박세준</t>
  </si>
  <si>
    <t>SEJUN PARK</t>
  </si>
  <si>
    <t>John</t>
  </si>
  <si>
    <t>2025S1382</t>
  </si>
  <si>
    <t>10304</t>
  </si>
  <si>
    <t>경기 고양시 일산동구 은행마을로 16, 은행마을 1단지</t>
  </si>
  <si>
    <t>2015.12.29</t>
  </si>
  <si>
    <t>박대식</t>
  </si>
  <si>
    <t>신현정</t>
  </si>
  <si>
    <t>krocabi@hanmail.net</t>
  </si>
  <si>
    <t>010-3305-9680</t>
  </si>
  <si>
    <t>010-6298-1402</t>
  </si>
  <si>
    <t>010-3198-9680</t>
  </si>
  <si>
    <t>Eknam Bajaj</t>
  </si>
  <si>
    <t>이시우</t>
  </si>
  <si>
    <t>SIWOO LEE</t>
  </si>
  <si>
    <t>2020F0101</t>
  </si>
  <si>
    <t>경기도 파주시 가온로 205, 해솔마을 7단지 709동 2702호</t>
  </si>
  <si>
    <t>2014.11.02</t>
  </si>
  <si>
    <t>2020.08.24</t>
  </si>
  <si>
    <t>Test date: 2020.07.01 / 2020년 가을학기 입학 (2020 summer school 참여함)</t>
  </si>
  <si>
    <t>한온빛</t>
  </si>
  <si>
    <t>ONBIT HAN</t>
  </si>
  <si>
    <t>Onbit</t>
  </si>
  <si>
    <t>2021S0104</t>
  </si>
  <si>
    <t>2014.11.13</t>
  </si>
  <si>
    <t>010-5137-7355</t>
  </si>
  <si>
    <t>2021.03.02</t>
  </si>
  <si>
    <t>Test date: 2020.02.23</t>
  </si>
  <si>
    <t>강세찬</t>
  </si>
  <si>
    <t>SECHAN KANG</t>
  </si>
  <si>
    <t>2021S0207</t>
  </si>
  <si>
    <t>2014.08.11</t>
  </si>
  <si>
    <t>Test date: 2020.06.18</t>
  </si>
  <si>
    <t>오평안</t>
  </si>
  <si>
    <t>PYEONGAN OH</t>
  </si>
  <si>
    <t>Pyeong an</t>
  </si>
  <si>
    <t>2022F0701</t>
  </si>
  <si>
    <t>22631</t>
  </si>
  <si>
    <t>인천시 서구 검단로768번길 46, 101동 2005호</t>
  </si>
  <si>
    <t>2014.12.26</t>
  </si>
  <si>
    <t>오기택</t>
  </si>
  <si>
    <t>조혜정</t>
  </si>
  <si>
    <t>snake2337@naver.com , cuculis@naver.com</t>
  </si>
  <si>
    <t>010-9065-9335</t>
  </si>
  <si>
    <t>010-7275-0992</t>
  </si>
  <si>
    <t>2022.07.08</t>
  </si>
  <si>
    <t>Test date: 2022.07.06</t>
  </si>
  <si>
    <t>임하랑</t>
  </si>
  <si>
    <t xml:space="preserve"> HARANG LIM</t>
  </si>
  <si>
    <t>Harang</t>
  </si>
  <si>
    <t>2023S0116</t>
  </si>
  <si>
    <t>경기도 고양시 일산동구 풍동 숲속마을1로 87 505동 204호</t>
  </si>
  <si>
    <t>2014.10.16</t>
  </si>
  <si>
    <t>임희성</t>
  </si>
  <si>
    <t>우수현</t>
  </si>
  <si>
    <t>baritonelim@naver.com, sean6413@gmail.com</t>
  </si>
  <si>
    <t>010-9270-0730</t>
  </si>
  <si>
    <t xml:space="preserve">010-9969-6413 </t>
  </si>
  <si>
    <t>010-5732-6413</t>
  </si>
  <si>
    <t>2023.1.31</t>
  </si>
  <si>
    <t>Test date: 2023.01.31</t>
  </si>
  <si>
    <t>이지율</t>
  </si>
  <si>
    <t>JIYUL LEE</t>
  </si>
  <si>
    <t>2025F1413</t>
  </si>
  <si>
    <t>10323</t>
  </si>
  <si>
    <t>경기도 고양시 일산동구 위시티 4로 45, 411동 1902호</t>
  </si>
  <si>
    <t>2014.5.20</t>
  </si>
  <si>
    <t>이용현</t>
  </si>
  <si>
    <t>김정명</t>
  </si>
  <si>
    <t>sudo3600@gmail.com, icell2007@naver.com</t>
  </si>
  <si>
    <t>010-3791-6116</t>
  </si>
  <si>
    <t>010-5303-3681</t>
  </si>
  <si>
    <t>010-6435-6116</t>
  </si>
  <si>
    <t>Test date: 2025.7.31</t>
  </si>
  <si>
    <t>이주호</t>
  </si>
  <si>
    <t>JUHO LEE</t>
  </si>
  <si>
    <t>Juho</t>
  </si>
  <si>
    <t>2026S1427</t>
  </si>
  <si>
    <t>2015.6.17</t>
  </si>
  <si>
    <t>010-8767-7134</t>
  </si>
  <si>
    <t>010-5699-7134</t>
  </si>
  <si>
    <t>이이든</t>
  </si>
  <si>
    <t>EDEN LEE</t>
  </si>
  <si>
    <t>Eden</t>
  </si>
  <si>
    <t>경기도 고양시 일산동구 위시티 2로 11번길 11, 101-1204</t>
  </si>
  <si>
    <t>2014.8.18</t>
  </si>
  <si>
    <t>이대성</t>
  </si>
  <si>
    <t>강인경</t>
  </si>
  <si>
    <t>white0377@gmail.com, kathy428@naver.com</t>
  </si>
  <si>
    <t>010-2124-4280</t>
  </si>
  <si>
    <t>010-9367-4280</t>
  </si>
  <si>
    <t>010-5716-5036</t>
  </si>
  <si>
    <t>Test date: 2025.12.08</t>
  </si>
  <si>
    <t>한예나</t>
  </si>
  <si>
    <t>YENA HAN</t>
  </si>
  <si>
    <t>Sophia</t>
  </si>
  <si>
    <t>2026S1446</t>
  </si>
  <si>
    <t>2014.01.24</t>
  </si>
  <si>
    <t>이태이</t>
  </si>
  <si>
    <t>TAY LEE</t>
  </si>
  <si>
    <t>Tay</t>
  </si>
  <si>
    <t>2026S1448</t>
  </si>
  <si>
    <t>10375</t>
  </si>
  <si>
    <t>경기도 고양시 일산서구 강선로 141 후곡16단지 1608-103</t>
  </si>
  <si>
    <t>2014.11.12</t>
  </si>
  <si>
    <t>이장욱</t>
  </si>
  <si>
    <t>김진</t>
  </si>
  <si>
    <t>titi337@naver.com, jean.likeclay@gmail.com</t>
  </si>
  <si>
    <t>010-6639-7725</t>
  </si>
  <si>
    <t>010-3786-9248</t>
  </si>
  <si>
    <t>010-4806-0765</t>
  </si>
  <si>
    <t>2026.3.4</t>
  </si>
  <si>
    <t>Test date: 2026.02.27</t>
  </si>
  <si>
    <t>최승재</t>
  </si>
  <si>
    <t>SEUNGJAE CHOI</t>
  </si>
  <si>
    <t>Tim</t>
  </si>
  <si>
    <t>2025F1402</t>
  </si>
  <si>
    <t>경기도 고양시 일산동구 위시티 2로 11번길 11, 101-1803</t>
  </si>
  <si>
    <t>2014.08.03</t>
  </si>
  <si>
    <t>최성호</t>
  </si>
  <si>
    <t>윤명화</t>
  </si>
  <si>
    <t>ares5675@naver.com, hwr3480@naver.com</t>
  </si>
  <si>
    <t>010-8744-4235</t>
  </si>
  <si>
    <t>010-4705-3955</t>
  </si>
  <si>
    <t>010-8402-4705</t>
  </si>
  <si>
    <t>Test date: 2025.6.13</t>
  </si>
  <si>
    <t>Christine Park</t>
  </si>
  <si>
    <t xml:space="preserve">김조이 </t>
  </si>
  <si>
    <t>JOY KIM</t>
  </si>
  <si>
    <t>Joy</t>
  </si>
  <si>
    <t>2020F0102</t>
  </si>
  <si>
    <t>경기도 파주시 가온로205 롯데캐슬 712동 704호(10898)</t>
  </si>
  <si>
    <t>2014.09.19</t>
  </si>
  <si>
    <t>김정곤</t>
  </si>
  <si>
    <t>강지애</t>
  </si>
  <si>
    <t>wjdrhs@hanmail.net, whdlaka78@gmail.com</t>
  </si>
  <si>
    <t>010-6294-6416</t>
  </si>
  <si>
    <t>010-6220-1847</t>
  </si>
  <si>
    <t>010-6214-1847</t>
  </si>
  <si>
    <t>Test date: 2020.07.09 / 2020년 가을학기 입학 (2020 summer school 참여함)</t>
  </si>
  <si>
    <t>유하연</t>
  </si>
  <si>
    <t>HAYEON RYU</t>
  </si>
  <si>
    <t>Hayeon</t>
  </si>
  <si>
    <t>2024S1321</t>
  </si>
  <si>
    <t>2013.05.26</t>
  </si>
  <si>
    <t>010-9436-2865</t>
  </si>
  <si>
    <t>이상우</t>
  </si>
  <si>
    <t>SANGWOO LEE</t>
  </si>
  <si>
    <t>Timmy</t>
  </si>
  <si>
    <t>2024S1330</t>
  </si>
  <si>
    <t>2014.02.25</t>
  </si>
  <si>
    <t>구하준</t>
  </si>
  <si>
    <t>HAJUN KOO</t>
  </si>
  <si>
    <t>2024S1333</t>
  </si>
  <si>
    <t>10119</t>
  </si>
  <si>
    <t>경기 김포시 풍무로 35 당곡현대@ 208동 1204호</t>
  </si>
  <si>
    <t>2013.10.21</t>
  </si>
  <si>
    <t>구자윤</t>
  </si>
  <si>
    <t>정인애</t>
  </si>
  <si>
    <t>kjy0007@naver.com, koomose@gmail.com</t>
  </si>
  <si>
    <t>010-5578-2411</t>
  </si>
  <si>
    <t>010-7276-8338</t>
  </si>
  <si>
    <t>010-4982-4211</t>
  </si>
  <si>
    <t>김다연</t>
  </si>
  <si>
    <t>DAYEON KIM</t>
  </si>
  <si>
    <t>Dayeon</t>
  </si>
  <si>
    <t>2024S1332</t>
  </si>
  <si>
    <t>2013.02.21</t>
  </si>
  <si>
    <t>Test date :2024.01.10</t>
  </si>
  <si>
    <t>윤라엘</t>
  </si>
  <si>
    <t>LAEL YOON</t>
  </si>
  <si>
    <t>Lael</t>
  </si>
  <si>
    <t>2024F1347</t>
  </si>
  <si>
    <t>10080</t>
  </si>
  <si>
    <t>경기도 김포시 김포한강 1로 129, 범양레우스라세느 103동 202호</t>
  </si>
  <si>
    <t>2014.01.03</t>
  </si>
  <si>
    <t>윤건수</t>
  </si>
  <si>
    <t>홍지연</t>
  </si>
  <si>
    <t>realupset@naver.com, lael0103@naver.com</t>
  </si>
  <si>
    <t>010-3442-1148</t>
  </si>
  <si>
    <t>010-6635-5019</t>
  </si>
  <si>
    <t>010-9936-5019</t>
  </si>
  <si>
    <t>Test date: 2024.05.28</t>
  </si>
  <si>
    <t>양희솔</t>
  </si>
  <si>
    <t>RIAH H.YANG</t>
  </si>
  <si>
    <t>Riah</t>
  </si>
  <si>
    <t>2024F1366</t>
  </si>
  <si>
    <t>10450</t>
  </si>
  <si>
    <t>경기도 일산동구 강송로 33 요진와이시티 103동 5904호</t>
  </si>
  <si>
    <t>2013.09.18</t>
  </si>
  <si>
    <t>양정모</t>
  </si>
  <si>
    <t>안미선</t>
  </si>
  <si>
    <r>
      <rPr>
        <u/>
        <sz val="9"/>
        <color rgb="FF1155CC"/>
        <rFont val="Arial"/>
        <family val="2"/>
      </rPr>
      <t>callme.mr</t>
    </r>
    <r>
      <rPr>
        <sz val="9"/>
        <color theme="1"/>
        <rFont val="Arial"/>
        <family val="2"/>
      </rPr>
      <t>.mo@gmail.com, misunjennyan@gmail.com</t>
    </r>
  </si>
  <si>
    <t>010-4548-3577</t>
  </si>
  <si>
    <t>010-9064-8265</t>
  </si>
  <si>
    <t>Test date: 2024.08.13</t>
  </si>
  <si>
    <t>김태율</t>
  </si>
  <si>
    <t>TAEYUL KIM</t>
  </si>
  <si>
    <t>Lincoln</t>
  </si>
  <si>
    <t>2025S1391</t>
  </si>
  <si>
    <t>2014.07.23</t>
  </si>
  <si>
    <t>2024.02.04</t>
  </si>
  <si>
    <t>강동호</t>
  </si>
  <si>
    <t>DONG HO KANG</t>
  </si>
  <si>
    <t>2025S1393</t>
  </si>
  <si>
    <t>07691</t>
  </si>
  <si>
    <t>서울시 강서구 강서로 266 (우장산아이파크이편한세상) 118동 304호</t>
  </si>
  <si>
    <t>2013.08.26</t>
  </si>
  <si>
    <t>강태연</t>
  </si>
  <si>
    <t>서지현</t>
  </si>
  <si>
    <t>rkelly3679@hotmail.com, seoji217@naver.com</t>
  </si>
  <si>
    <t>010-9229-2224</t>
  </si>
  <si>
    <t>010-4059-2224</t>
  </si>
  <si>
    <t>010-6449-4230</t>
  </si>
  <si>
    <t>2025.3.10</t>
  </si>
  <si>
    <t>Test date: 2025.3.4</t>
  </si>
  <si>
    <t>윤건우</t>
  </si>
  <si>
    <t>KEONWOO YUN</t>
  </si>
  <si>
    <t>KEONWOO</t>
  </si>
  <si>
    <t>2026S1435</t>
  </si>
  <si>
    <t>경기도 김포시 태장로 845, 한강센트럴자이 109동 401호</t>
  </si>
  <si>
    <t>2013.3.31</t>
  </si>
  <si>
    <t>윤동주</t>
  </si>
  <si>
    <t>최지현</t>
  </si>
  <si>
    <t>opinionpower@naver.com, estelle4791@hanmail.net</t>
  </si>
  <si>
    <t>010-3329-6245</t>
  </si>
  <si>
    <t>010-3257-9457</t>
  </si>
  <si>
    <t>010-7644-6245</t>
  </si>
  <si>
    <t>Test date: 2026.1.8</t>
  </si>
  <si>
    <t>양시온</t>
  </si>
  <si>
    <t>SION YANG</t>
  </si>
  <si>
    <t>Sion</t>
  </si>
  <si>
    <t>2026S1436</t>
  </si>
  <si>
    <t>10875</t>
  </si>
  <si>
    <t>경기도 파주시 청석로 300 (다율동, 청석마을 대원효성아파트)</t>
  </si>
  <si>
    <t>2014.1.16</t>
  </si>
  <si>
    <t>양우성</t>
  </si>
  <si>
    <t>정재영</t>
  </si>
  <si>
    <t>yang.woosung@joongang.co.kr, happyjer333@naver.com</t>
  </si>
  <si>
    <t>010-2400-5968</t>
  </si>
  <si>
    <t>010-3777-5479</t>
  </si>
  <si>
    <t>010-6311-5968</t>
  </si>
  <si>
    <t>Test date: 2026.1.12</t>
  </si>
  <si>
    <t>박하빈</t>
  </si>
  <si>
    <t>HABIN PARK</t>
  </si>
  <si>
    <t>2026S1438</t>
  </si>
  <si>
    <t>010-5518-4716</t>
  </si>
  <si>
    <t>손하율</t>
  </si>
  <si>
    <t>HAYUL SON</t>
  </si>
  <si>
    <t>Joseph</t>
  </si>
  <si>
    <t>2026S1440</t>
  </si>
  <si>
    <t>10906</t>
  </si>
  <si>
    <t>파주시 와석순환로 61, 708동 302호</t>
  </si>
  <si>
    <t>2013.9.03</t>
  </si>
  <si>
    <t>손정호</t>
  </si>
  <si>
    <t>김명선</t>
  </si>
  <si>
    <t>sonjhcta@naver.com</t>
  </si>
  <si>
    <t>010-2260-2897</t>
  </si>
  <si>
    <t>010-7407-7759</t>
  </si>
  <si>
    <t>010-9282-2897</t>
  </si>
  <si>
    <t>Test date: 2026.1.19</t>
  </si>
  <si>
    <t>김이건</t>
  </si>
  <si>
    <t>YIGEON KIM</t>
  </si>
  <si>
    <t>Yigeon</t>
  </si>
  <si>
    <t>2022F0603</t>
  </si>
  <si>
    <t>일산서구 덕이로 1535(하이파크시티 일산파밀리에 4단지) 412동 502호</t>
  </si>
  <si>
    <t>2014.08.22</t>
  </si>
  <si>
    <t>김정식</t>
  </si>
  <si>
    <t>이지현</t>
  </si>
  <si>
    <t>ele94@hanmail.net , ejiroom@naver.com</t>
  </si>
  <si>
    <t>010-7334-5167</t>
  </si>
  <si>
    <t>010-6394-4015</t>
  </si>
  <si>
    <t>010-9949-4015</t>
  </si>
  <si>
    <t>2022.07.06</t>
  </si>
  <si>
    <t>Test date: 2022.05.04</t>
  </si>
  <si>
    <t>Michelle Lee</t>
  </si>
  <si>
    <t>이재이</t>
  </si>
  <si>
    <t>JERI LEE</t>
  </si>
  <si>
    <t xml:space="preserve"> Jerry</t>
  </si>
  <si>
    <t>2020S0101</t>
  </si>
  <si>
    <t>경기도 파주시 미래로 422 한빛마을1단지한라비발디센트럴파크, 106동 102호</t>
  </si>
  <si>
    <t>2013.04.30</t>
  </si>
  <si>
    <t>이준호</t>
  </si>
  <si>
    <t>박숙영</t>
  </si>
  <si>
    <t>freejuno25@naver.com, dudrn4812@naver.com</t>
  </si>
  <si>
    <t>010-8181-0615</t>
  </si>
  <si>
    <t>010-4855-0615</t>
  </si>
  <si>
    <t>2020.1.28</t>
  </si>
  <si>
    <t>Test date : 2020.01.22</t>
  </si>
  <si>
    <t>유하준(A)</t>
  </si>
  <si>
    <t>HAJOON YOO</t>
  </si>
  <si>
    <t>Hajoon</t>
  </si>
  <si>
    <t>2022S0301</t>
  </si>
  <si>
    <t>10872</t>
  </si>
  <si>
    <t>경기도 파주시 교하로 70, 산내마을 3단지 313동 702호</t>
  </si>
  <si>
    <t>2012.12.22</t>
  </si>
  <si>
    <t>유찬호</t>
  </si>
  <si>
    <t>이정심</t>
  </si>
  <si>
    <t>peteryoo@liskorea.org, ljs0081@naver.com</t>
  </si>
  <si>
    <t>010-3211-7426</t>
  </si>
  <si>
    <t>010-8261-6965</t>
  </si>
  <si>
    <t>010-7643-7426</t>
  </si>
  <si>
    <t>2022.01.24</t>
  </si>
  <si>
    <t>O</t>
  </si>
  <si>
    <t>O 2022/05/10</t>
  </si>
  <si>
    <t>Test date: 2022.01.12</t>
  </si>
  <si>
    <t>김이든</t>
  </si>
  <si>
    <t>EDEN KIM</t>
  </si>
  <si>
    <t>2023F1312</t>
  </si>
  <si>
    <t>10887</t>
  </si>
  <si>
    <t>경기도 파주시 초롱꽃로 80 405동 1602호</t>
  </si>
  <si>
    <t>2012.06.26</t>
  </si>
  <si>
    <t>김승훈</t>
  </si>
  <si>
    <t>강선자</t>
  </si>
  <si>
    <t>eden8981@naver.com, beisle79@naver.com</t>
  </si>
  <si>
    <t>010-2452-8981</t>
  </si>
  <si>
    <t>010-3725-2746</t>
  </si>
  <si>
    <t>010-4847-8981</t>
  </si>
  <si>
    <t>2023.08.17</t>
  </si>
  <si>
    <t>Test date : 2023.08.17</t>
  </si>
  <si>
    <t>송라임</t>
  </si>
  <si>
    <t>LA-IM SONG</t>
  </si>
  <si>
    <t>Laim</t>
  </si>
  <si>
    <t>2024F1348</t>
  </si>
  <si>
    <t>10394</t>
  </si>
  <si>
    <t>고양시 일산동구 월드고양로21, 킨텍스원시티 3블럭 304동 3401호</t>
  </si>
  <si>
    <t>2013.05.10</t>
  </si>
  <si>
    <t>송기락</t>
  </si>
  <si>
    <t>윤소희</t>
  </si>
  <si>
    <t>songgirak@gmail.com, yysshh115@gmail.com</t>
  </si>
  <si>
    <t>010-4373-1388</t>
  </si>
  <si>
    <t>010-4227-7381</t>
  </si>
  <si>
    <t>010-4244-7381</t>
  </si>
  <si>
    <t>Test date : 2024.06.07</t>
  </si>
  <si>
    <t>양희람</t>
  </si>
  <si>
    <t>LUIS.H. YANG</t>
  </si>
  <si>
    <t>Luis</t>
  </si>
  <si>
    <t>2024F1365</t>
  </si>
  <si>
    <t>2012.09.24</t>
  </si>
  <si>
    <r>
      <rPr>
        <u/>
        <sz val="9"/>
        <color rgb="FF1155CC"/>
        <rFont val="Arial"/>
        <family val="2"/>
      </rPr>
      <t>callme.mr</t>
    </r>
    <r>
      <rPr>
        <sz val="9"/>
        <color theme="1"/>
        <rFont val="Arial"/>
        <family val="2"/>
      </rPr>
      <t>.mo@gmail.com, misunjennyan@gmail.com</t>
    </r>
  </si>
  <si>
    <t>윤석현</t>
  </si>
  <si>
    <t>SEOKHYEON YOON</t>
  </si>
  <si>
    <t>Jacob</t>
  </si>
  <si>
    <t>2024S1334</t>
  </si>
  <si>
    <t>2012.05.24</t>
  </si>
  <si>
    <t>010-5809-4767</t>
  </si>
  <si>
    <t>Test date :2024.01.05</t>
  </si>
  <si>
    <t>신하준</t>
  </si>
  <si>
    <t>HAJUN SHIN</t>
  </si>
  <si>
    <t>Matthew</t>
  </si>
  <si>
    <t>2025F1417</t>
  </si>
  <si>
    <t>10099</t>
  </si>
  <si>
    <t>경기도 김포시 걸포 1로 39 307동 302호</t>
  </si>
  <si>
    <t>2012.10.15</t>
  </si>
  <si>
    <t>신환종</t>
  </si>
  <si>
    <t>이유안</t>
  </si>
  <si>
    <t>shj3627@naver.com, junimam10@naver.com</t>
  </si>
  <si>
    <t>010-3627-1106</t>
  </si>
  <si>
    <t>010-5253-7227</t>
  </si>
  <si>
    <t>010-9124-7227</t>
  </si>
  <si>
    <t>Test date: 2025.8.12</t>
  </si>
  <si>
    <t>송상윤</t>
  </si>
  <si>
    <t>SANGYUN SONG</t>
  </si>
  <si>
    <t>Sangyun</t>
  </si>
  <si>
    <t>2025F1406</t>
  </si>
  <si>
    <t>07599</t>
  </si>
  <si>
    <t>경기파주시 파주운정3.  동패동 487-27 1004동 운정중앙역하우스디아파트</t>
  </si>
  <si>
    <t>2012.1.2</t>
  </si>
  <si>
    <t>송재호</t>
  </si>
  <si>
    <t>권영경</t>
  </si>
  <si>
    <t>gamemedia@gmail.com, yk4476@naver.com</t>
  </si>
  <si>
    <t>010-8704-7944</t>
  </si>
  <si>
    <t>010-2262-4476</t>
  </si>
  <si>
    <t>010-8429-7684</t>
  </si>
  <si>
    <t>Test date: 2025.7.17</t>
  </si>
  <si>
    <t>정라온</t>
  </si>
  <si>
    <t>RAON JEONG</t>
  </si>
  <si>
    <t>Raon</t>
  </si>
  <si>
    <t>2026S1432</t>
  </si>
  <si>
    <t>10813</t>
  </si>
  <si>
    <t>경기도 파주시 문산읍 우계로 457번길 29, 105-302</t>
  </si>
  <si>
    <t>2012.12.13</t>
  </si>
  <si>
    <t>정경훈</t>
  </si>
  <si>
    <t>박현혜</t>
  </si>
  <si>
    <t>jean365phh@naver.com</t>
  </si>
  <si>
    <t>010-7515-5831</t>
  </si>
  <si>
    <t>010-9038-1539</t>
  </si>
  <si>
    <t>010-7529-5831</t>
  </si>
  <si>
    <t>Test date: 2025.12.19</t>
  </si>
  <si>
    <t>한예주</t>
  </si>
  <si>
    <t>YEJU HAN</t>
  </si>
  <si>
    <t>Bella</t>
  </si>
  <si>
    <t>2026S1445</t>
  </si>
  <si>
    <t>2012.01.09</t>
  </si>
  <si>
    <t>박하온</t>
  </si>
  <si>
    <t>HAON PARK</t>
  </si>
  <si>
    <t>Grace</t>
  </si>
  <si>
    <t>2026S1437</t>
  </si>
  <si>
    <t>2012.09.11</t>
  </si>
  <si>
    <t>010-5514-3016</t>
  </si>
  <si>
    <t>오시온</t>
  </si>
  <si>
    <t>SION OH</t>
  </si>
  <si>
    <t>2022F0702</t>
  </si>
  <si>
    <t>2013.03.20</t>
  </si>
  <si>
    <t>010-8447-0992</t>
  </si>
  <si>
    <t xml:space="preserve">SORA KANG
</t>
  </si>
  <si>
    <t>한온유</t>
  </si>
  <si>
    <t>ON YOO HAN</t>
  </si>
  <si>
    <t>On Yoo</t>
  </si>
  <si>
    <t>2019S0104</t>
  </si>
  <si>
    <t>2012.06.22</t>
  </si>
  <si>
    <t xml:space="preserve">010-5153-7355 </t>
  </si>
  <si>
    <t>010-9977-1889</t>
  </si>
  <si>
    <t>2019.03.04</t>
  </si>
  <si>
    <t>이희엘</t>
  </si>
  <si>
    <t>HEEEL LEE</t>
  </si>
  <si>
    <t>Heeel</t>
  </si>
  <si>
    <t>2021S0302</t>
  </si>
  <si>
    <t>10403</t>
  </si>
  <si>
    <t>경기도 고양시 일산동구 백마로 223 현대에뜨레보 1417호</t>
  </si>
  <si>
    <t>2011.12.08</t>
  </si>
  <si>
    <t>이성만</t>
  </si>
  <si>
    <t>윤소연</t>
  </si>
  <si>
    <t>tylor72@naver.com, sm@tediw.co.kr, Smyoon0419@gmail.com</t>
  </si>
  <si>
    <t>010-9114-9518</t>
  </si>
  <si>
    <t>010-8886-9518</t>
  </si>
  <si>
    <t>010-4102-9518</t>
  </si>
  <si>
    <t>2021.05.10</t>
  </si>
  <si>
    <t>Test date: 2021.04.28</t>
  </si>
  <si>
    <t>김형서</t>
  </si>
  <si>
    <t>HYUNG SEO KIM</t>
  </si>
  <si>
    <t xml:space="preserve"> </t>
  </si>
  <si>
    <t>2022F0612</t>
  </si>
  <si>
    <t>10230</t>
  </si>
  <si>
    <t>경기도 고양시 일산서구 하이파크2로 59번길 7, 하이파크 3단지 304동 403호</t>
  </si>
  <si>
    <t>2011.07.15</t>
  </si>
  <si>
    <t>김경섭</t>
  </si>
  <si>
    <t>임연정</t>
  </si>
  <si>
    <t xml:space="preserve"> healthyman94@gmail.com</t>
  </si>
  <si>
    <t>010-6844-0369</t>
  </si>
  <si>
    <t>010-3414-6136</t>
  </si>
  <si>
    <t>010-2857-2550</t>
  </si>
  <si>
    <t>2022.07.01</t>
  </si>
  <si>
    <t>Test date: 2022.06.28</t>
  </si>
  <si>
    <t>김설린</t>
  </si>
  <si>
    <t>SEOLRIN KIM</t>
  </si>
  <si>
    <t>SeolRin</t>
  </si>
  <si>
    <t>2018F0104</t>
  </si>
  <si>
    <t>경기도 파주시 청석로300 대원효성아파트 923동 403호</t>
  </si>
  <si>
    <t>2012.01.14</t>
  </si>
  <si>
    <t>김성민</t>
  </si>
  <si>
    <t>이은주</t>
  </si>
  <si>
    <t>jarule37@naver.com</t>
  </si>
  <si>
    <t>010-4034-0891</t>
  </si>
  <si>
    <t>010-4035-0891</t>
  </si>
  <si>
    <t>010-2477-0891</t>
  </si>
  <si>
    <t>2018.08.28(test)</t>
  </si>
  <si>
    <t>2018년 가을학기 정시입학</t>
  </si>
  <si>
    <t>이하율</t>
  </si>
  <si>
    <t>HAYUL LEE</t>
  </si>
  <si>
    <t xml:space="preserve">Daniel </t>
  </si>
  <si>
    <t>2023S0111</t>
  </si>
  <si>
    <t>경기도 파주시 미래로 345 (동패동, 한울마을 7단지 삼부르네상스 아파트) 703동 402호</t>
  </si>
  <si>
    <t>2012.03.05</t>
  </si>
  <si>
    <t>이규영</t>
  </si>
  <si>
    <t>안미정</t>
  </si>
  <si>
    <t>lgygreen20@naver.com, fingeration@naver.com</t>
  </si>
  <si>
    <t>010-2825-5492</t>
  </si>
  <si>
    <t>010-4369-2026</t>
  </si>
  <si>
    <t>010-4953-2026</t>
  </si>
  <si>
    <t>2023.01.18</t>
  </si>
  <si>
    <t>이한결</t>
  </si>
  <si>
    <t>HANGYUL LEE</t>
  </si>
  <si>
    <t>2023F1308</t>
  </si>
  <si>
    <t>경기도 일산동구 강송로 156, 206동 1402호</t>
  </si>
  <si>
    <t>2011.04.23</t>
  </si>
  <si>
    <t>이영진</t>
  </si>
  <si>
    <t>박혜성</t>
  </si>
  <si>
    <t>koreassam@naver.com, katie_ny@naver.com</t>
  </si>
  <si>
    <t>010-4037-1699</t>
  </si>
  <si>
    <t>010-4772-1699</t>
  </si>
  <si>
    <t>010-5006-1699</t>
  </si>
  <si>
    <t>2023.08.03</t>
  </si>
  <si>
    <t>Test date : 2023.08.01</t>
  </si>
  <si>
    <t>구하은</t>
  </si>
  <si>
    <t>HAEUN KOO</t>
  </si>
  <si>
    <t>Haeun</t>
  </si>
  <si>
    <t>2024S1342</t>
  </si>
  <si>
    <t>경기 김포시 풍무로 35 당곡현대@208동 1204호</t>
  </si>
  <si>
    <t>2011.04.28</t>
  </si>
  <si>
    <t>010-4779-2411</t>
  </si>
  <si>
    <t>2024.02.29</t>
  </si>
  <si>
    <t>Test date : 2024.02.29</t>
  </si>
  <si>
    <t>김경천</t>
  </si>
  <si>
    <t>KYUNGCHUN KIM</t>
  </si>
  <si>
    <t>Kyungchun</t>
  </si>
  <si>
    <t>2024S1316</t>
  </si>
  <si>
    <t>인천서구 검단로 744번3길,8 삼부해피하임 506동 302호</t>
  </si>
  <si>
    <t>2011.11.22</t>
  </si>
  <si>
    <t>김동선</t>
  </si>
  <si>
    <t>박미진</t>
  </si>
  <si>
    <t>amaranth6th@naver.com, meejpark@naver.com</t>
  </si>
  <si>
    <t>010-3993-5452</t>
  </si>
  <si>
    <t>010-4603-5912</t>
  </si>
  <si>
    <t>010-4642-5912</t>
  </si>
  <si>
    <t>2023.6.16</t>
  </si>
  <si>
    <t>Test date : 2023.06.16</t>
  </si>
  <si>
    <t>유하준</t>
  </si>
  <si>
    <t>HAJUN RYU</t>
  </si>
  <si>
    <t>Hajun</t>
  </si>
  <si>
    <t>2024S1320</t>
  </si>
  <si>
    <t>2011.04.05</t>
  </si>
  <si>
    <t>010-5057-6088</t>
  </si>
  <si>
    <t>탁태원</t>
  </si>
  <si>
    <t>TAEWON TAK</t>
  </si>
  <si>
    <t>Taewon</t>
  </si>
  <si>
    <t>2024F1370</t>
  </si>
  <si>
    <t>10087</t>
  </si>
  <si>
    <t>경기도 김포시 김포한강 1로 10 초당마을 우미린 206동 1603호</t>
  </si>
  <si>
    <t>2011.01.07</t>
  </si>
  <si>
    <t>탁문수</t>
  </si>
  <si>
    <t>김훈진</t>
  </si>
  <si>
    <t>mstak87@daidohc.com, hoonjinkim71@naver.com, hoonjinkim71@daidohc.com</t>
  </si>
  <si>
    <t>010-9650-7738</t>
  </si>
  <si>
    <t>010-9141-5115</t>
  </si>
  <si>
    <t>010-7616-5106</t>
  </si>
  <si>
    <t>Test date: 2024.08.19</t>
  </si>
  <si>
    <t>최윤권</t>
  </si>
  <si>
    <t>YOONKWON CHOI</t>
  </si>
  <si>
    <t>Yoon Kwon</t>
  </si>
  <si>
    <t>2024F1362</t>
  </si>
  <si>
    <t>경기도 파주시 가람로 70, 401동 1601호</t>
  </si>
  <si>
    <t>2011.01.18</t>
  </si>
  <si>
    <t>최현수</t>
  </si>
  <si>
    <t>장지윤</t>
  </si>
  <si>
    <t>iamchoihs@gmail.com, jjan2252@gmail.com</t>
  </si>
  <si>
    <t>010-2594-4653</t>
  </si>
  <si>
    <t>010-6244-2252</t>
  </si>
  <si>
    <t xml:space="preserve">010-4838-0234 </t>
  </si>
  <si>
    <t>Test date: 2024.08.06</t>
  </si>
  <si>
    <t>김민준</t>
  </si>
  <si>
    <t>MINJUN KIM</t>
  </si>
  <si>
    <t>Minjun</t>
  </si>
  <si>
    <t>2025S1384</t>
  </si>
  <si>
    <t>10893</t>
  </si>
  <si>
    <t>경기도 파주시 해솔로 85 두산위브 APT 104동 1402호</t>
  </si>
  <si>
    <t>2012.03.07</t>
  </si>
  <si>
    <t>김상호</t>
  </si>
  <si>
    <t>홍혜전</t>
  </si>
  <si>
    <t>eric2060@naver.com, meg307@naver.com</t>
  </si>
  <si>
    <t>010-5267-0578</t>
  </si>
  <si>
    <t>010-7120-0368</t>
  </si>
  <si>
    <t>010-3535-0368</t>
  </si>
  <si>
    <t>Test date: 2024.12.24</t>
  </si>
  <si>
    <t>송유빈</t>
  </si>
  <si>
    <t>YUVIN SONG</t>
  </si>
  <si>
    <t>Yuvin</t>
  </si>
  <si>
    <t>2025F1401</t>
  </si>
  <si>
    <t>10874</t>
  </si>
  <si>
    <t>경기도 파주시 책향기로 420 신동아파밀리에(아) 1101-1502</t>
  </si>
  <si>
    <t>2011.1.28</t>
  </si>
  <si>
    <t>송영환</t>
  </si>
  <si>
    <t>나경화</t>
  </si>
  <si>
    <t>younghan.song@gmail.com, yellowart4710@gmail.com</t>
  </si>
  <si>
    <t>010-8825-8599</t>
  </si>
  <si>
    <t>010-9080-4710</t>
  </si>
  <si>
    <t>010-5639-8599</t>
  </si>
  <si>
    <t>Test date: 2025.6.12</t>
  </si>
  <si>
    <t>천새별</t>
  </si>
  <si>
    <t>SEABYEOL CHUN</t>
  </si>
  <si>
    <t>Seabyeol</t>
  </si>
  <si>
    <t>2025F1407</t>
  </si>
  <si>
    <t>10491</t>
  </si>
  <si>
    <t>고양시 덕양구 서정마을로 25, 서정마을 2단지 204동 1004호</t>
  </si>
  <si>
    <t>2011.9.21</t>
  </si>
  <si>
    <t>천대훈</t>
  </si>
  <si>
    <t>우소희</t>
  </si>
  <si>
    <t>wjrgmr79@naver.com, jangmi080137@naver.com</t>
  </si>
  <si>
    <t>010-5243-8985</t>
  </si>
  <si>
    <t>010-8985-0165</t>
  </si>
  <si>
    <t>010-9149-8983</t>
  </si>
  <si>
    <t>Test date: 2025.7.22</t>
  </si>
  <si>
    <t>이지민</t>
  </si>
  <si>
    <t>JIMIN LEE</t>
  </si>
  <si>
    <t>2026S1430</t>
  </si>
  <si>
    <t>10903</t>
  </si>
  <si>
    <t>경기도 파주시 심학산로 384, 120동 602호</t>
  </si>
  <si>
    <t>2011.8.2</t>
  </si>
  <si>
    <t>이원근</t>
  </si>
  <si>
    <t>최선정</t>
  </si>
  <si>
    <t>potico@hanmail.net, chsj77@gmail.com</t>
  </si>
  <si>
    <t>010-3907-7605</t>
  </si>
  <si>
    <t>010-9290-1210</t>
  </si>
  <si>
    <t>010-7616-7605</t>
  </si>
  <si>
    <t>성건</t>
  </si>
  <si>
    <t>KUN SUNG</t>
  </si>
  <si>
    <t>Kun</t>
  </si>
  <si>
    <t>2026S1451</t>
  </si>
  <si>
    <t>10385</t>
  </si>
  <si>
    <t>경기도 고양시 일산서구 강선로 9 1903동 1403호</t>
  </si>
  <si>
    <t>2011.01.31</t>
  </si>
  <si>
    <t>성형찬</t>
  </si>
  <si>
    <t>진상희</t>
  </si>
  <si>
    <t>f1960670@naver.com, 1004jint@gmail.com</t>
  </si>
  <si>
    <t>010-8714-9074</t>
  </si>
  <si>
    <t>010-9174-2271</t>
  </si>
  <si>
    <t>010-8851-2271</t>
  </si>
  <si>
    <t>2026.3.9</t>
  </si>
  <si>
    <t>Test date: 2026.03.04</t>
  </si>
  <si>
    <t>임하람</t>
  </si>
  <si>
    <t>JOSEPH H. IM</t>
  </si>
  <si>
    <t>2025F1404</t>
  </si>
  <si>
    <t>10423</t>
  </si>
  <si>
    <t>경기도 고양시 일산동구 노루목로 80 호수마을 314동 1202호</t>
  </si>
  <si>
    <t>2011.10.6</t>
  </si>
  <si>
    <t>임승혁</t>
  </si>
  <si>
    <t>이현숙</t>
  </si>
  <si>
    <t>shim@e-chon.co.kr, shinelee856@gmail.com</t>
  </si>
  <si>
    <t>010-8890-0450</t>
  </si>
  <si>
    <t>010-4523-0450</t>
  </si>
  <si>
    <t>010-7155-0450</t>
  </si>
  <si>
    <t>Test date: 2025.7.10</t>
  </si>
  <si>
    <t>Jaewon Lee
&amp;
Daniel KIm</t>
  </si>
  <si>
    <t>이현아</t>
  </si>
  <si>
    <t>HYUNA LEE</t>
  </si>
  <si>
    <t>Lily</t>
  </si>
  <si>
    <t>2020S0304</t>
  </si>
  <si>
    <t>10376</t>
  </si>
  <si>
    <t>경기도 고양시 일산서구 강성로270 성저마을 304동 203호</t>
  </si>
  <si>
    <t>2010.02.20</t>
  </si>
  <si>
    <t>이우근</t>
  </si>
  <si>
    <t>이재연</t>
  </si>
  <si>
    <t>wklee97@gmail.com</t>
  </si>
  <si>
    <t>010-7317-9608</t>
  </si>
  <si>
    <t>010-9267-9608</t>
  </si>
  <si>
    <t>010-5672-9608</t>
  </si>
  <si>
    <t>2020.02.03</t>
  </si>
  <si>
    <t>곽하용</t>
  </si>
  <si>
    <t>HAYONG KWAK</t>
  </si>
  <si>
    <t xml:space="preserve">Hayong </t>
  </si>
  <si>
    <t>2021S0401</t>
  </si>
  <si>
    <t>파주시 와동동 가람로 22 가람마을 1단지 벽산한라 아파트 110-603 (10895)</t>
  </si>
  <si>
    <t>곽병곤</t>
  </si>
  <si>
    <t>천은경</t>
  </si>
  <si>
    <t>danielkwak76@gmail.com, kwak3abraham11@gmail.com</t>
  </si>
  <si>
    <t>010-5464-5715</t>
  </si>
  <si>
    <t>010-5034-5715</t>
  </si>
  <si>
    <t>010-5043-5715</t>
  </si>
  <si>
    <t>Test date: 2020.01.15</t>
  </si>
  <si>
    <t>오유민</t>
  </si>
  <si>
    <t>YUMIN OH</t>
  </si>
  <si>
    <t>Sarah</t>
  </si>
  <si>
    <t>2021F0501</t>
  </si>
  <si>
    <t>경기도 파주시 한빛로 11 (야당동, 한빛마을3단지 자유로아이파크), 312동 303호</t>
  </si>
  <si>
    <t>2010.10.01</t>
  </si>
  <si>
    <t>오호종</t>
  </si>
  <si>
    <t>방소현</t>
  </si>
  <si>
    <t>amyshb326@gmail.com</t>
  </si>
  <si>
    <t>010-6312-0019</t>
  </si>
  <si>
    <t>010-7740-9178</t>
  </si>
  <si>
    <t>010-4892-0019</t>
  </si>
  <si>
    <t>2021.08.23</t>
  </si>
  <si>
    <t>Test date: 2021.05.18</t>
  </si>
  <si>
    <t>김형주</t>
  </si>
  <si>
    <t>HYEONGJU KIM</t>
  </si>
  <si>
    <t>Jayden</t>
  </si>
  <si>
    <t>2022F0807</t>
  </si>
  <si>
    <t>10113</t>
  </si>
  <si>
    <t>경기도 김포시 유현로 200 (풍무 푸르지오) 101-2802</t>
  </si>
  <si>
    <t>2011.03.25</t>
  </si>
  <si>
    <t>김덕영</t>
  </si>
  <si>
    <t>김세연</t>
  </si>
  <si>
    <t>1023kkim@gmail.com , milk382525@gmail.com</t>
  </si>
  <si>
    <t>010-9005-2000</t>
  </si>
  <si>
    <t>010-8632-3000</t>
  </si>
  <si>
    <t>010-7696-6373</t>
  </si>
  <si>
    <t>Test date: 2022.08.18</t>
  </si>
  <si>
    <t>오예주</t>
  </si>
  <si>
    <t>YEJU OH</t>
  </si>
  <si>
    <t xml:space="preserve">Ye Ju </t>
  </si>
  <si>
    <t>2018S0102</t>
  </si>
  <si>
    <t>10904</t>
  </si>
  <si>
    <t>경기도 파주시 경의로 987-23  야당동 화인하우스 101동 402호 (10904)</t>
  </si>
  <si>
    <t>2011.05.17</t>
  </si>
  <si>
    <t>오승현</t>
  </si>
  <si>
    <t>장윤미</t>
  </si>
  <si>
    <t>jjangym@empal.com</t>
  </si>
  <si>
    <t>010-8730-1081</t>
  </si>
  <si>
    <t>010-2265-9071</t>
  </si>
  <si>
    <t>010-7636-9071</t>
  </si>
  <si>
    <t>2018.01.02(test)</t>
  </si>
  <si>
    <t>2018년 봄학기 입학예정</t>
  </si>
  <si>
    <t>성혜인</t>
  </si>
  <si>
    <t>HYEIN SUNG</t>
  </si>
  <si>
    <t>Helena</t>
  </si>
  <si>
    <t>2024F1355</t>
  </si>
  <si>
    <t>2011.05.04</t>
  </si>
  <si>
    <t>임하윤</t>
  </si>
  <si>
    <t>HAYOON LIM</t>
  </si>
  <si>
    <t>2021S0404</t>
  </si>
  <si>
    <t xml:space="preserve">        경기도 파주시 심학산로 384 (동패동, 운정신도시 IPARK), 104동 1904호</t>
  </si>
  <si>
    <t>2011.03.03</t>
  </si>
  <si>
    <t>임정근</t>
  </si>
  <si>
    <t>표귀선</t>
  </si>
  <si>
    <t>leesang03@gmail.com, ppyo1023@naver.com</t>
  </si>
  <si>
    <t>02-311-6258</t>
  </si>
  <si>
    <t>010-9336-9721</t>
  </si>
  <si>
    <t>010-4433-2038</t>
  </si>
  <si>
    <t>010-8560-2038</t>
  </si>
  <si>
    <t>Test date: 2020.02.22</t>
  </si>
  <si>
    <t>심하얼</t>
  </si>
  <si>
    <t>HAEOL SHIM</t>
  </si>
  <si>
    <t>2021S0405</t>
  </si>
  <si>
    <t xml:space="preserve">경기도 고양시 일산서구 일현로 97-11, 102동 5305호 (탄현동,두산위브더제니스)        </t>
  </si>
  <si>
    <t>2010.11.18</t>
  </si>
  <si>
    <t>심봉섭</t>
  </si>
  <si>
    <t>박은정</t>
  </si>
  <si>
    <t>ambitop71@naver.com, jimin51789@naver.com</t>
  </si>
  <si>
    <t>010-2290-3503</t>
  </si>
  <si>
    <t>010-2429-3125</t>
  </si>
  <si>
    <t>010-7586-3125</t>
  </si>
  <si>
    <t>2021.04.07</t>
  </si>
  <si>
    <t>Test date: 2020.03.04</t>
  </si>
  <si>
    <t>손유나</t>
  </si>
  <si>
    <t>EUNA SON</t>
  </si>
  <si>
    <t>Euna</t>
  </si>
  <si>
    <t>2023F1300</t>
  </si>
  <si>
    <t>10861</t>
  </si>
  <si>
    <t>경기도 파주시 탄현면 오색나비길 47</t>
  </si>
  <si>
    <t>2010.11.16</t>
  </si>
  <si>
    <t>손대진</t>
  </si>
  <si>
    <t>박경아</t>
  </si>
  <si>
    <t>panicyo@hanmail.net, agahae@gmail.com</t>
  </si>
  <si>
    <t>010-4467-1895</t>
  </si>
  <si>
    <t>010-2479-4434</t>
  </si>
  <si>
    <t>010-6517-4434</t>
  </si>
  <si>
    <t>2023.6.28</t>
  </si>
  <si>
    <t>Test date:2023.05.18</t>
  </si>
  <si>
    <t>김효린</t>
  </si>
  <si>
    <t>HYORIN KIM</t>
  </si>
  <si>
    <t>HyoRin</t>
  </si>
  <si>
    <t>2018S0101</t>
  </si>
  <si>
    <t>2010.01.14</t>
  </si>
  <si>
    <t>010-9934-0891</t>
  </si>
  <si>
    <t>2017.11.29(test)</t>
  </si>
  <si>
    <t>2018년 봄학기 입학예정 / 김세린(E3)&amp;김효린(E1 등록예정) 자매</t>
  </si>
  <si>
    <t>이시현</t>
  </si>
  <si>
    <t>SIHYUN LEE</t>
  </si>
  <si>
    <t>Shaun</t>
  </si>
  <si>
    <t>2024S1324</t>
  </si>
  <si>
    <t>10234</t>
  </si>
  <si>
    <t>경기도 고양시 일산서구 하이파크3로 62 현대아이파크 508-2203</t>
  </si>
  <si>
    <t>2011.08.09</t>
  </si>
  <si>
    <t>이기준</t>
  </si>
  <si>
    <t>문해란</t>
  </si>
  <si>
    <t>kslkj@hanmail.net, hrmoon10@gmail.com</t>
  </si>
  <si>
    <t>010-8932-6023</t>
  </si>
  <si>
    <t>010-6305-1155</t>
  </si>
  <si>
    <t>010-4929-6023</t>
  </si>
  <si>
    <t>Test date : 2023.12.07</t>
  </si>
  <si>
    <t>백단비</t>
  </si>
  <si>
    <t>DANBI BAEK</t>
  </si>
  <si>
    <t>2023S0119</t>
  </si>
  <si>
    <t>10533</t>
  </si>
  <si>
    <t>경기도 고양시 덕양구 소원로 181번길 20, 707동 1302호</t>
  </si>
  <si>
    <t>2010.10.14</t>
  </si>
  <si>
    <t>황연주</t>
  </si>
  <si>
    <t>hyj524@hanmail.net</t>
  </si>
  <si>
    <t>010-8583-4636</t>
  </si>
  <si>
    <t>010-2058-4636</t>
  </si>
  <si>
    <t>2023.2.23</t>
  </si>
  <si>
    <t>Test date: 2023.02.22</t>
  </si>
  <si>
    <t>김하울</t>
  </si>
  <si>
    <t>HAUL KIM</t>
  </si>
  <si>
    <t>2026S1429</t>
  </si>
  <si>
    <t>경기도 김포시 걸포1로 11, 오스타파라곤 106동 701호</t>
  </si>
  <si>
    <t>2010.6.22</t>
  </si>
  <si>
    <t>김호경</t>
  </si>
  <si>
    <t>김하림</t>
  </si>
  <si>
    <t>philip03@hanmail.net, widace@naver.com</t>
  </si>
  <si>
    <t>010-5453-2491</t>
  </si>
  <si>
    <t>010-5038-2491</t>
  </si>
  <si>
    <t>010-4085-2491</t>
  </si>
  <si>
    <t>Test date: 2025.12.12</t>
  </si>
  <si>
    <t>김라윤</t>
  </si>
  <si>
    <t>LAYOON KIM</t>
  </si>
  <si>
    <t>Leena</t>
  </si>
  <si>
    <t>2026S1434</t>
  </si>
  <si>
    <t>10892</t>
  </si>
  <si>
    <t>경기도 파주시 교하로 133번길 5</t>
  </si>
  <si>
    <t>2010.10.9</t>
  </si>
  <si>
    <t>김봉용</t>
  </si>
  <si>
    <t>정소영</t>
  </si>
  <si>
    <t>izglass@naver.com, iizglass@naver.com</t>
  </si>
  <si>
    <t>010-7220-4795</t>
  </si>
  <si>
    <t>010-7175-7978</t>
  </si>
  <si>
    <t>010-2002-4795</t>
  </si>
  <si>
    <t>문정혁</t>
  </si>
  <si>
    <t>문정인</t>
  </si>
  <si>
    <t>심하람</t>
  </si>
  <si>
    <t>최원석</t>
  </si>
  <si>
    <t>YUANSHUO CUI</t>
  </si>
  <si>
    <t>Philip</t>
  </si>
  <si>
    <t>2025F1422</t>
  </si>
  <si>
    <t>07687</t>
  </si>
  <si>
    <t>서울시 강서구 화곡로 53길 7-15 702호</t>
  </si>
  <si>
    <t>2010.06.23</t>
  </si>
  <si>
    <t>최홍범</t>
  </si>
  <si>
    <t>김은화</t>
  </si>
  <si>
    <t>jinyinhua315@gmail.com</t>
  </si>
  <si>
    <t>010-8253-8086</t>
  </si>
  <si>
    <t>010-7553-8086</t>
  </si>
  <si>
    <t>010-5683-8680</t>
  </si>
  <si>
    <t>2025.9.22</t>
  </si>
  <si>
    <t>Test date : 2025.9.115</t>
  </si>
  <si>
    <t>강경호</t>
  </si>
  <si>
    <t>KYUNGHO KANG</t>
  </si>
  <si>
    <t>Jed</t>
  </si>
  <si>
    <t>2025S1394</t>
  </si>
  <si>
    <t>2010.12.19</t>
  </si>
  <si>
    <t>010-4708-4230</t>
  </si>
  <si>
    <t>David Nah</t>
  </si>
  <si>
    <t>고선</t>
  </si>
  <si>
    <t>SUN KO</t>
  </si>
  <si>
    <t>Sun</t>
  </si>
  <si>
    <t>2019F0401</t>
  </si>
  <si>
    <t>10384</t>
  </si>
  <si>
    <t>경기도 고양시 일산서구 킨텍스로284 문촌마을 19단지 1906동 702호</t>
  </si>
  <si>
    <t>2010.01.19</t>
  </si>
  <si>
    <t>고영준</t>
  </si>
  <si>
    <t>윤채영</t>
  </si>
  <si>
    <t>dawnycy@naver.com</t>
  </si>
  <si>
    <t>010-9926-5315</t>
  </si>
  <si>
    <t>010-2578-5315</t>
  </si>
  <si>
    <t>010-5400-6923</t>
  </si>
  <si>
    <t>2019.08.26</t>
  </si>
  <si>
    <t>곽인용</t>
  </si>
  <si>
    <t>INYONG KWAK</t>
  </si>
  <si>
    <t>Inyong</t>
  </si>
  <si>
    <t>2020F0501</t>
  </si>
  <si>
    <t xml:space="preserve">경기도 파주시 가람로 22  벽산 한라아파트 110동 603호 </t>
  </si>
  <si>
    <t>2009.02.12</t>
  </si>
  <si>
    <t>danielkwak76@gmail.com, c53045715@gmail.com</t>
  </si>
  <si>
    <t>010-5304-5715</t>
  </si>
  <si>
    <t>Test date: 2020.08.19</t>
  </si>
  <si>
    <t>김영후</t>
  </si>
  <si>
    <t>YOUNGHOO KIM</t>
  </si>
  <si>
    <t>Hoo</t>
  </si>
  <si>
    <t>2023F1311</t>
  </si>
  <si>
    <t>2009.10.13</t>
  </si>
  <si>
    <t>010-4716-2746</t>
  </si>
  <si>
    <t>이효원</t>
  </si>
  <si>
    <t>HYOWON LEE</t>
  </si>
  <si>
    <t>Chloe</t>
  </si>
  <si>
    <t>2023F1307</t>
  </si>
  <si>
    <t>2009.08.16</t>
  </si>
  <si>
    <t>010-4082-1699</t>
  </si>
  <si>
    <t>강인하</t>
  </si>
  <si>
    <t>INHA KANG</t>
  </si>
  <si>
    <t>Cillian</t>
  </si>
  <si>
    <t>2024S1327</t>
  </si>
  <si>
    <t>10899</t>
  </si>
  <si>
    <t>경기도 파주시 가온로 67 505동 1903호</t>
  </si>
  <si>
    <t>2009.01.01</t>
  </si>
  <si>
    <t>강대영</t>
  </si>
  <si>
    <t>채주영</t>
  </si>
  <si>
    <t>kzio21@naver.com, jubuyu@naver.com</t>
  </si>
  <si>
    <t>010-2048-1180</t>
  </si>
  <si>
    <t>010-2066-6884</t>
  </si>
  <si>
    <t>010-6598-8872</t>
  </si>
  <si>
    <t>Test date : 2023.12.21</t>
  </si>
  <si>
    <t>김은찬</t>
  </si>
  <si>
    <t>EUNCHAN KIM</t>
  </si>
  <si>
    <t>2024F1367</t>
  </si>
  <si>
    <t>11444</t>
  </si>
  <si>
    <t xml:space="preserve">경기도 고양시 일산동구 탄중로 430 중산마을 10단지 1003동 1101호 </t>
  </si>
  <si>
    <t>2009.10.30</t>
  </si>
  <si>
    <t>김현진</t>
  </si>
  <si>
    <t>신영아</t>
  </si>
  <si>
    <t>hyuny7703@gmail.com,  delpia@daum.net</t>
  </si>
  <si>
    <t>010-5946-9946</t>
  </si>
  <si>
    <t>010-2133-9946</t>
  </si>
  <si>
    <t>Test date: 2024.08.14</t>
  </si>
  <si>
    <t>조이안</t>
  </si>
  <si>
    <t>IAN L. JO</t>
  </si>
  <si>
    <t>Ian</t>
  </si>
  <si>
    <t>2022F0809</t>
  </si>
  <si>
    <t>경기도 고양시 일산서구 하이파크로 113 (덕이동, 하이파크시티일산아이파크1단지) 108-1901</t>
  </si>
  <si>
    <t>2010.04.09</t>
  </si>
  <si>
    <t>조성권</t>
  </si>
  <si>
    <t>이지혜</t>
  </si>
  <si>
    <t xml:space="preserve"> apple0407@naver.com, sungkwon.jo@gmail.com</t>
  </si>
  <si>
    <t>010-4726-1400</t>
  </si>
  <si>
    <t>010-4725-1400</t>
  </si>
  <si>
    <t>2022.08.25</t>
  </si>
  <si>
    <t>Test date: 2022.08.24</t>
  </si>
  <si>
    <t>황하은</t>
  </si>
  <si>
    <t>HAEUN HWANG</t>
  </si>
  <si>
    <t>2025S1392</t>
  </si>
  <si>
    <t xml:space="preserve"> 10324</t>
  </si>
  <si>
    <t>위시티 3로111(일산자이더헤리티지) 204동 2205호</t>
  </si>
  <si>
    <t>2009.06.27</t>
  </si>
  <si>
    <t>황정훈</t>
  </si>
  <si>
    <t>김수미</t>
  </si>
  <si>
    <t>law0858@naver.com, j-sumi80@naver.com</t>
  </si>
  <si>
    <t>010-3296-0858</t>
  </si>
  <si>
    <t>010-7524-8694</t>
  </si>
  <si>
    <t>010-4647-8694</t>
  </si>
  <si>
    <t>2025.2.10</t>
  </si>
  <si>
    <t>Test date: 2025.02.06</t>
  </si>
  <si>
    <t>피지윤</t>
  </si>
  <si>
    <t>JIYUN PHY</t>
  </si>
  <si>
    <t>Jiyun</t>
  </si>
  <si>
    <t>2025S1398</t>
  </si>
  <si>
    <t>경기도 고양시 일산서구 가좌 2로 53 가좌마을 3단지아파트, 307-601</t>
  </si>
  <si>
    <t>2010.1.30</t>
  </si>
  <si>
    <t>피영학</t>
  </si>
  <si>
    <t>김은영</t>
  </si>
  <si>
    <t>vldudgkr@naver.com, pj20100130@gmail.com</t>
  </si>
  <si>
    <t>010-4157-1125</t>
  </si>
  <si>
    <t>010-5015-1125</t>
  </si>
  <si>
    <t>010-2479-1501</t>
  </si>
  <si>
    <t>2025.4.17</t>
  </si>
  <si>
    <t>Test date: 2025.04.17</t>
  </si>
  <si>
    <t>정지유</t>
  </si>
  <si>
    <t>JIYOU JEONG</t>
  </si>
  <si>
    <t>Jiyou</t>
  </si>
  <si>
    <t>2025F1409</t>
  </si>
  <si>
    <t>경기도 파주시 교하로 70, 운정센트레빌 309-2003</t>
  </si>
  <si>
    <t>2009.9.11</t>
  </si>
  <si>
    <t>정영식</t>
  </si>
  <si>
    <t>윤혜경</t>
  </si>
  <si>
    <t>redmagic7803@naver.com</t>
  </si>
  <si>
    <t>010-5647-2150</t>
  </si>
  <si>
    <t>010-6496-5457</t>
  </si>
  <si>
    <t>Test date: 2025.7.23</t>
  </si>
  <si>
    <t>정이안</t>
  </si>
  <si>
    <t>YIAN JEONG</t>
  </si>
  <si>
    <t>Yian</t>
  </si>
  <si>
    <t>2025S1380</t>
  </si>
  <si>
    <t>경기도 파주시 동패로 117, 214동 1501호</t>
  </si>
  <si>
    <t>2009.01.12</t>
  </si>
  <si>
    <t>노은선</t>
  </si>
  <si>
    <t>wnslaekfarl@naver.com</t>
  </si>
  <si>
    <t>010-2955-3207</t>
  </si>
  <si>
    <t>010-9143-3207</t>
  </si>
  <si>
    <t>Test date: 2024.12.05</t>
  </si>
  <si>
    <t xml:space="preserve">Peter Yoo
</t>
  </si>
  <si>
    <t>Art Major</t>
  </si>
  <si>
    <t>김현도</t>
  </si>
  <si>
    <t>HYUNDO KIM</t>
  </si>
  <si>
    <t xml:space="preserve">Hyundo </t>
  </si>
  <si>
    <t>2019F0501</t>
  </si>
  <si>
    <t>10560</t>
  </si>
  <si>
    <t>경기도 고양시 덕양구 솔밭1길 45, 원흥동 642번지 301호</t>
  </si>
  <si>
    <t>2008.09.25</t>
  </si>
  <si>
    <t>김동성</t>
  </si>
  <si>
    <t>임해영</t>
  </si>
  <si>
    <t>picturebookmuseum@gmail.com</t>
  </si>
  <si>
    <t>010-5515-7397</t>
  </si>
  <si>
    <t>010-7651-8610</t>
  </si>
  <si>
    <t>조수민</t>
  </si>
  <si>
    <t>SUMIN CHO</t>
  </si>
  <si>
    <t>Ella</t>
  </si>
  <si>
    <t>2019F0502</t>
  </si>
  <si>
    <t>경기도 파주시 책향기로 209, 1410동 1103호</t>
  </si>
  <si>
    <t>2008.09.27</t>
  </si>
  <si>
    <t>조기웅</t>
  </si>
  <si>
    <t>정미경</t>
  </si>
  <si>
    <t>flygillian@naver.com</t>
  </si>
  <si>
    <t>010-9003-9929</t>
  </si>
  <si>
    <t>010-7362-1262</t>
  </si>
  <si>
    <t>010-4330-1262</t>
  </si>
  <si>
    <t>Test date: 2019.06.21</t>
  </si>
  <si>
    <t>김하늘</t>
  </si>
  <si>
    <t>HANUL KIM</t>
  </si>
  <si>
    <t>Rachel</t>
  </si>
  <si>
    <t>2021S0603</t>
  </si>
  <si>
    <t>10535</t>
  </si>
  <si>
    <t>경기도 고양시 덕양구 소원로 252, 1103동 102호</t>
  </si>
  <si>
    <t>2008.09.23</t>
  </si>
  <si>
    <t>김수민</t>
  </si>
  <si>
    <t>이경민</t>
  </si>
  <si>
    <t>shalom42@naver.com</t>
  </si>
  <si>
    <t>031-970-9000</t>
  </si>
  <si>
    <t>010-9075-4581</t>
  </si>
  <si>
    <t>010-9119-8003</t>
  </si>
  <si>
    <t>010-7276-1180</t>
  </si>
  <si>
    <t>Test date: 2020.11.20</t>
  </si>
  <si>
    <t>김세현</t>
  </si>
  <si>
    <t>SEHYUN KIM</t>
  </si>
  <si>
    <t>2021S0604</t>
  </si>
  <si>
    <t>경기도 파주시 초롱꽃로 130 디에트로더퍼스트1304동 1403호</t>
  </si>
  <si>
    <t>2008.12.20</t>
  </si>
  <si>
    <t>김경선</t>
  </si>
  <si>
    <t>조보배</t>
  </si>
  <si>
    <t>pilgrimks@hotmail.com, bobae516@hotmail.com</t>
  </si>
  <si>
    <t>042-470-7044</t>
  </si>
  <si>
    <t>010-6355-6278</t>
  </si>
  <si>
    <t>010-3379-8649</t>
  </si>
  <si>
    <t>010-9847-8649</t>
  </si>
  <si>
    <t>Test date: 2020.12.07</t>
  </si>
  <si>
    <t>김세린</t>
  </si>
  <si>
    <t>SERIN KIM</t>
  </si>
  <si>
    <t>SeRin</t>
  </si>
  <si>
    <t>2018S0301</t>
  </si>
  <si>
    <t>2008.05.07</t>
  </si>
  <si>
    <t>010-2577-0891</t>
  </si>
  <si>
    <t>손예나</t>
  </si>
  <si>
    <t>YENA SON</t>
  </si>
  <si>
    <t>2023F1305</t>
  </si>
  <si>
    <t>010-8487-4434</t>
  </si>
  <si>
    <t>Test date : 2023.07.24</t>
  </si>
  <si>
    <t>김민기</t>
  </si>
  <si>
    <t>MINKI KIM</t>
  </si>
  <si>
    <t>Minki</t>
  </si>
  <si>
    <t>2024S1343</t>
  </si>
  <si>
    <t>경기도 고양시 일산서구 고양대로 255번길 45, 킨텍스아이파크 902동 602호</t>
  </si>
  <si>
    <t>2007.05.05</t>
  </si>
  <si>
    <t>김학수</t>
  </si>
  <si>
    <t>이희원</t>
  </si>
  <si>
    <t>harksuh@graphicode.kr, mingiso813@gmail.com</t>
  </si>
  <si>
    <t>010-8730-1286</t>
  </si>
  <si>
    <t>010-3729-5613</t>
  </si>
  <si>
    <t>010-9720-5613</t>
  </si>
  <si>
    <t>2024.03.05</t>
  </si>
  <si>
    <t>Test Date : 2024.02.19</t>
  </si>
  <si>
    <t>윤서영</t>
  </si>
  <si>
    <t>SEOYOUNG YOON</t>
  </si>
  <si>
    <t>2024S1325</t>
  </si>
  <si>
    <t>10214</t>
  </si>
  <si>
    <t>경기 고양시 일산서구 송포로 207, 가좌동 꿈에그린 708동801호</t>
  </si>
  <si>
    <t>2008.11.05</t>
  </si>
  <si>
    <t>Billy Yoon</t>
  </si>
  <si>
    <t>임선혜</t>
  </si>
  <si>
    <t>beanst@naver.com, melung37@naver.com</t>
  </si>
  <si>
    <t>010-8306-9016</t>
  </si>
  <si>
    <t>010-8962-1671</t>
  </si>
  <si>
    <t>010-8763-1671</t>
  </si>
  <si>
    <t>Test date : 2023.12.12</t>
  </si>
  <si>
    <t>이도현</t>
  </si>
  <si>
    <t>DOHYUN LEE</t>
  </si>
  <si>
    <t>2024S1338</t>
  </si>
  <si>
    <t>10083</t>
  </si>
  <si>
    <t>경기도 김포시 김포한강2로 208 고창마을 KCC스위첸 410동 304호</t>
  </si>
  <si>
    <t>2008.03.10</t>
  </si>
  <si>
    <t>이준표</t>
  </si>
  <si>
    <t>전은숙</t>
  </si>
  <si>
    <t>de_com@naver.com, azio8714@naver.com</t>
  </si>
  <si>
    <t>010-8203-7585</t>
  </si>
  <si>
    <t>010-2227-7585</t>
  </si>
  <si>
    <t>010-3909-2537</t>
  </si>
  <si>
    <t>2024.2.5</t>
  </si>
  <si>
    <t>Test date :2024.02.02</t>
  </si>
  <si>
    <t>탁세은</t>
  </si>
  <si>
    <t>SE EUN TAK</t>
  </si>
  <si>
    <t>Renee</t>
  </si>
  <si>
    <t>2024F1369</t>
  </si>
  <si>
    <t>경기도 김포시 김호한강 1로 10 초당마을 우미린 206동 1603호</t>
  </si>
  <si>
    <t>2007.10.15</t>
  </si>
  <si>
    <t>mstak87@daidohc.com, hoonjinkim71@daidohc.com</t>
  </si>
  <si>
    <t>010-4081-5106</t>
  </si>
  <si>
    <t>Test date: 2024.08.16</t>
  </si>
  <si>
    <t>김은솔</t>
  </si>
  <si>
    <t>EUNSOL KIM</t>
  </si>
  <si>
    <t>2024F1368</t>
  </si>
  <si>
    <t>2007.10.26</t>
  </si>
  <si>
    <t>010-7686-9946</t>
  </si>
  <si>
    <t>천수민</t>
  </si>
  <si>
    <t>KAILYN SUMIN CHEON</t>
  </si>
  <si>
    <t>Kailyn Cheon</t>
  </si>
  <si>
    <t>2025S1399</t>
  </si>
  <si>
    <t>10881</t>
  </si>
  <si>
    <t>파주시 회동길 301 헤르만하우스 104-105</t>
  </si>
  <si>
    <t>2008.11.22</t>
  </si>
  <si>
    <t>천상현</t>
  </si>
  <si>
    <t>김성경</t>
  </si>
  <si>
    <t>scheon@hongik.ac.kr, goksk71@gmail.com</t>
  </si>
  <si>
    <t>010-4188-0394</t>
  </si>
  <si>
    <t>010-4196-1657</t>
  </si>
  <si>
    <t>010-3191-1657</t>
  </si>
  <si>
    <t>2025.4.18</t>
  </si>
  <si>
    <t>Test date: 2025.4.15</t>
  </si>
  <si>
    <t>김태림</t>
  </si>
  <si>
    <t>TAERIM KIM</t>
  </si>
  <si>
    <t>Terry</t>
  </si>
  <si>
    <t>2025F1412</t>
  </si>
  <si>
    <t>10595</t>
  </si>
  <si>
    <t>경기도 고양시 덕양구 동송로 23-28 306-2606</t>
  </si>
  <si>
    <t>2008.06.23</t>
  </si>
  <si>
    <t>김영일</t>
  </si>
  <si>
    <t>조자영</t>
  </si>
  <si>
    <t>gaogaizer@naver.com, memejc@naver.com</t>
  </si>
  <si>
    <t>010-3173-7066</t>
  </si>
  <si>
    <t>010-3302-4025</t>
  </si>
  <si>
    <t>010-3515-4025</t>
  </si>
  <si>
    <t>Test date: 2025.7.30</t>
  </si>
  <si>
    <t>김민경</t>
  </si>
  <si>
    <t>SOPHIA M. KIM</t>
  </si>
  <si>
    <t>2025F1418</t>
  </si>
  <si>
    <t>일산동구 위시티 4로 80, 자이1단지 109동 2103호</t>
  </si>
  <si>
    <t>2007.12.13</t>
  </si>
  <si>
    <t>김종성</t>
  </si>
  <si>
    <t>조희주</t>
  </si>
  <si>
    <t>envokim72@gmail.com, joo1123kr@gmail.com</t>
  </si>
  <si>
    <t>010-8858-7260</t>
  </si>
  <si>
    <t>010-9334-7260</t>
  </si>
  <si>
    <t>010-4334-7260</t>
  </si>
  <si>
    <t>2025.8.19</t>
  </si>
  <si>
    <t>Test date: 2025.8.14</t>
  </si>
  <si>
    <t>김현서</t>
  </si>
  <si>
    <t>HYUNSEO KIM</t>
  </si>
  <si>
    <t>2024F1356</t>
  </si>
  <si>
    <t>10248</t>
  </si>
  <si>
    <t>경기도 고양시 일산서구 탄현로 136, 110-1105</t>
  </si>
  <si>
    <t>2008.03.25</t>
  </si>
  <si>
    <t>김기율</t>
  </si>
  <si>
    <t>김진옥</t>
  </si>
  <si>
    <t>kmakky@naver.com, jjinok77@hanmail.net</t>
  </si>
  <si>
    <t>010-9232-6456</t>
  </si>
  <si>
    <t>010-3102-6447</t>
  </si>
  <si>
    <t>010-3142-6447</t>
  </si>
  <si>
    <t>Test date: 2024.07.15</t>
  </si>
  <si>
    <t>한예원</t>
  </si>
  <si>
    <t>YEWON HAN</t>
  </si>
  <si>
    <t>Olivia</t>
  </si>
  <si>
    <t>2026S1444</t>
  </si>
  <si>
    <t>2008.01.07</t>
  </si>
  <si>
    <t>010-65587-2656</t>
  </si>
  <si>
    <t>2026.02.23</t>
  </si>
  <si>
    <t>Test date: 2026.02.13</t>
  </si>
  <si>
    <t>이예윤</t>
  </si>
  <si>
    <t>YEYUN LEE</t>
  </si>
  <si>
    <t>2025S1387</t>
  </si>
  <si>
    <t>경기도 고양시 일산동구 위시티4로 45 (식사동, 위시티일산자이4단지아파트) 411동 1902호</t>
  </si>
  <si>
    <t>2009.07.11</t>
  </si>
  <si>
    <t>010-5362-3681</t>
  </si>
  <si>
    <t>Test date: 2025.01.15</t>
  </si>
  <si>
    <t>Danny Pyung</t>
  </si>
  <si>
    <t>고호세</t>
  </si>
  <si>
    <t>HOU-SE KO</t>
  </si>
  <si>
    <t>Hou-se</t>
  </si>
  <si>
    <t>2019F0601</t>
  </si>
  <si>
    <t>2008.08.08</t>
  </si>
  <si>
    <t>Test date: 2019.06.25</t>
  </si>
  <si>
    <t>정혜원</t>
  </si>
  <si>
    <t>HEAWON JUNG</t>
  </si>
  <si>
    <t>Kelly</t>
  </si>
  <si>
    <t>2022F0805</t>
  </si>
  <si>
    <t>김포시 걸포2로 83, 106동 1805호</t>
  </si>
  <si>
    <t>2007.08.20</t>
  </si>
  <si>
    <t>정수현</t>
  </si>
  <si>
    <t>전문권</t>
  </si>
  <si>
    <t>moonkwon.jun@gmail.com</t>
  </si>
  <si>
    <t>010-2865-5177</t>
  </si>
  <si>
    <t>010-4917-5177</t>
  </si>
  <si>
    <t>010-9701-5177</t>
  </si>
  <si>
    <t>Test date: 2022.08.16</t>
  </si>
  <si>
    <t>정하솜</t>
  </si>
  <si>
    <t>CHUNG HASOM</t>
  </si>
  <si>
    <t>2023S0114</t>
  </si>
  <si>
    <t>10884</t>
  </si>
  <si>
    <t>경기도 파주시 문발동 해바라기길 52 (우 : 10884)</t>
  </si>
  <si>
    <t>2007.08.29</t>
  </si>
  <si>
    <t>정행규</t>
  </si>
  <si>
    <t>양정아</t>
  </si>
  <si>
    <t>prog2@hanmail.net</t>
  </si>
  <si>
    <t>010-4099-2509</t>
  </si>
  <si>
    <t>010-8633-2430</t>
  </si>
  <si>
    <t>010-4644-2430</t>
  </si>
  <si>
    <t>2023.1.17</t>
  </si>
  <si>
    <t>유아현</t>
  </si>
  <si>
    <t>AHYUN RYU</t>
  </si>
  <si>
    <t>2020S0602</t>
  </si>
  <si>
    <t>파주시 청석로300 923동1502호</t>
  </si>
  <si>
    <t>2007.05.23</t>
  </si>
  <si>
    <t>유재인</t>
  </si>
  <si>
    <t>신휴숙</t>
  </si>
  <si>
    <t>shk8010@naver.com</t>
  </si>
  <si>
    <t>010-9488-0203</t>
  </si>
  <si>
    <t>010-9276-7114</t>
  </si>
  <si>
    <t>010-5222-7523</t>
  </si>
  <si>
    <t>Test date: 2019.12.19</t>
  </si>
  <si>
    <t>문아림</t>
  </si>
  <si>
    <t>ARIM MUN</t>
  </si>
  <si>
    <t>Arim</t>
  </si>
  <si>
    <t>2023F1301</t>
  </si>
  <si>
    <t>경기도 고양시 일산서구 하이파크3로 61 410동 601호</t>
  </si>
  <si>
    <t>2007.02.09</t>
  </si>
  <si>
    <t>문영호</t>
  </si>
  <si>
    <t>이혜진</t>
  </si>
  <si>
    <t>freeox05@gmail.com, jiniox7777@naver.com</t>
  </si>
  <si>
    <t>010-5670-5181</t>
  </si>
  <si>
    <t>010-5773-5181</t>
  </si>
  <si>
    <t>010-8357-5147</t>
  </si>
  <si>
    <t>Test date:2023.05.25</t>
  </si>
  <si>
    <t>이승은</t>
  </si>
  <si>
    <t>SEUNGEUN LEE</t>
  </si>
  <si>
    <t>Selena</t>
  </si>
  <si>
    <t>2023F1302</t>
  </si>
  <si>
    <t>경기도 파주시 동패로 28번길 57, 301호</t>
  </si>
  <si>
    <t>2007.04.27</t>
  </si>
  <si>
    <t>이재규</t>
  </si>
  <si>
    <t>김주연</t>
  </si>
  <si>
    <t>miin7868@naver.com</t>
  </si>
  <si>
    <t>010-5204-3490</t>
  </si>
  <si>
    <t>010-6406-3109</t>
  </si>
  <si>
    <t>이예준</t>
  </si>
  <si>
    <t>YEJUN LEE</t>
  </si>
  <si>
    <t>Yejun</t>
  </si>
  <si>
    <t>2021S0701</t>
  </si>
  <si>
    <t>파주 심학산로 159, 102동 902호</t>
  </si>
  <si>
    <t>2007.11.04</t>
  </si>
  <si>
    <t>초보현</t>
  </si>
  <si>
    <t>whqhgus0119@naver.com</t>
  </si>
  <si>
    <t>010-3885-4630</t>
  </si>
  <si>
    <t>010-5002-6041</t>
  </si>
  <si>
    <t>010-5220-6041</t>
  </si>
  <si>
    <t>Test date: 2020.12.14</t>
  </si>
  <si>
    <t>이다은</t>
  </si>
  <si>
    <t>DAEUN LEE</t>
  </si>
  <si>
    <t>2023S0113</t>
  </si>
  <si>
    <t>2008.01.15</t>
  </si>
  <si>
    <t>010-2062-5492</t>
  </si>
  <si>
    <t>조이현</t>
  </si>
  <si>
    <t>JAMIE L. JO</t>
  </si>
  <si>
    <t>Jamie</t>
  </si>
  <si>
    <t>2025F1419</t>
  </si>
  <si>
    <t xml:space="preserve">10230 </t>
  </si>
  <si>
    <t xml:space="preserve">       경기도 고양시 일산서구 하이파크로 113 (덕이동, 하이파크시티일산아이파크1단지) 108-1901</t>
  </si>
  <si>
    <t>2007.9.16</t>
  </si>
  <si>
    <t xml:space="preserve"> apple0407@naver.com</t>
  </si>
  <si>
    <t>2025.9.1</t>
  </si>
  <si>
    <t>Test date: 2025.8.29</t>
  </si>
  <si>
    <r>
      <rPr>
        <sz val="9"/>
        <color rgb="FFFF0000"/>
        <rFont val="Arial"/>
        <family val="2"/>
      </rPr>
      <t>* Red highlighted : Art Major Students</t>
    </r>
    <r>
      <rPr>
        <sz val="9"/>
        <color theme="1"/>
        <rFont val="Arial"/>
        <family val="2"/>
      </rPr>
      <t xml:space="preserve">
</t>
    </r>
    <r>
      <rPr>
        <sz val="9"/>
        <color rgb="FF0000FF"/>
        <rFont val="Arial"/>
        <family val="2"/>
      </rPr>
      <t>* Blue highlighted : Art Major Candidates</t>
    </r>
  </si>
  <si>
    <t>New Students Lists</t>
  </si>
  <si>
    <t>#</t>
  </si>
  <si>
    <t>합격통지문/납부안내문</t>
  </si>
  <si>
    <t>납부기한</t>
  </si>
  <si>
    <t>행정안내문/  Naver Band</t>
  </si>
  <si>
    <t>Name on Passport</t>
  </si>
  <si>
    <t>Student ID</t>
  </si>
  <si>
    <t>Admission Date</t>
  </si>
  <si>
    <t>School Goods</t>
  </si>
  <si>
    <t>2021.05.24</t>
  </si>
  <si>
    <t>2021.05.27</t>
  </si>
  <si>
    <t>2021.08.02</t>
  </si>
  <si>
    <t>Yumin</t>
  </si>
  <si>
    <t>고양시 서구 탄현동 1640 위브더제니스 103동 5005호(10242)</t>
  </si>
  <si>
    <t>eco bag, hooide,T-shrit 모두 지급)2021/08/23)</t>
  </si>
  <si>
    <t>2021.07.21</t>
  </si>
  <si>
    <t>즉시납부</t>
  </si>
  <si>
    <t>윤하은</t>
  </si>
  <si>
    <t>HAEUN YOON</t>
  </si>
  <si>
    <t>Anais</t>
  </si>
  <si>
    <t>2021F0401</t>
  </si>
  <si>
    <t>10908</t>
  </si>
  <si>
    <t>경기도 파주시 야당동 991 한빛마을 5단지 캐슬앤칸타빌 514동 801호</t>
  </si>
  <si>
    <t>2011.05.23</t>
  </si>
  <si>
    <t>윤석민</t>
  </si>
  <si>
    <t>김미정</t>
  </si>
  <si>
    <t>toseokmin@naver.com, abuabuabu@hanmail.net</t>
  </si>
  <si>
    <t>032-744-2869</t>
  </si>
  <si>
    <t>010-6847-5477</t>
  </si>
  <si>
    <t>010-6296-3551</t>
  </si>
  <si>
    <t>010-5207-3551</t>
  </si>
  <si>
    <t>Test date: 2021.07.14</t>
  </si>
  <si>
    <t>윤주아</t>
  </si>
  <si>
    <t>JUA YOON</t>
  </si>
  <si>
    <t>2021F0201</t>
  </si>
  <si>
    <t>2013.05.31</t>
  </si>
  <si>
    <t>010-8218-3551</t>
  </si>
  <si>
    <t>최지우</t>
  </si>
  <si>
    <t>JIWOO CHOI</t>
  </si>
  <si>
    <t>Jonathan(JJ)</t>
  </si>
  <si>
    <t>2021F0701</t>
  </si>
  <si>
    <t>10377</t>
  </si>
  <si>
    <r>
      <rPr>
        <sz val="9"/>
        <color theme="1"/>
        <rFont val="Arial"/>
        <family val="2"/>
      </rPr>
      <t>경기도 고양시 일산서구 대화동 2180-2, 3층</t>
    </r>
    <r>
      <rPr>
        <sz val="9"/>
        <color theme="1"/>
        <rFont val="Arial"/>
        <family val="2"/>
      </rPr>
      <t xml:space="preserve"> / 세종특별자치시 보람로 95, 1310-1002(도담동, 도램마을13단지)</t>
    </r>
  </si>
  <si>
    <t>2009.06.05</t>
  </si>
  <si>
    <t>최형욱</t>
  </si>
  <si>
    <t>안상현</t>
  </si>
  <si>
    <t>lessco2.choi@gmail.com, kathyahn605@gmail.com</t>
  </si>
  <si>
    <t>010-5285-4215</t>
  </si>
  <si>
    <t>010-2165-5647(임시)</t>
  </si>
  <si>
    <t>Test date: 2021.07.20 / 조건부 입학</t>
  </si>
  <si>
    <t>2021.07.22</t>
  </si>
  <si>
    <t>최은석</t>
  </si>
  <si>
    <t>EUNSEOK CHOI</t>
  </si>
  <si>
    <t>Harace</t>
  </si>
  <si>
    <t>2021F1001</t>
  </si>
  <si>
    <t>04722</t>
  </si>
  <si>
    <t>서울특별시 성동구 금호로 173</t>
  </si>
  <si>
    <t>2006.05.16</t>
  </si>
  <si>
    <t>최대규</t>
  </si>
  <si>
    <t>박상훈</t>
  </si>
  <si>
    <t>gyu3891@nate.com, fire4444@naver.com</t>
  </si>
  <si>
    <t>010-9188-3891</t>
  </si>
  <si>
    <t>010-6541-5279</t>
  </si>
  <si>
    <t>010-5127-5279</t>
  </si>
  <si>
    <t>구연우</t>
  </si>
  <si>
    <t>YOUNWOO KOO</t>
  </si>
  <si>
    <t>2021F0402</t>
  </si>
  <si>
    <t>10073</t>
  </si>
  <si>
    <t>경기도 김포시 김포한강11로 287, 204-1902(운양동 e편한세상)</t>
  </si>
  <si>
    <t>2012.03.14</t>
  </si>
  <si>
    <t>구현모</t>
  </si>
  <si>
    <t>정지연</t>
  </si>
  <si>
    <t>ceo@a-art.co.kr, jyjeon@a-art.co.kr</t>
  </si>
  <si>
    <t>02-2298-1231, 02-266-8725</t>
  </si>
  <si>
    <t>010-9489-2709</t>
  </si>
  <si>
    <t>010-9041-5772</t>
  </si>
  <si>
    <t>Test date: 2021.07.20</t>
  </si>
  <si>
    <t>구교윤</t>
  </si>
  <si>
    <t>KYOYOON KOO</t>
  </si>
  <si>
    <t>Albin</t>
  </si>
  <si>
    <t>2021F0601</t>
  </si>
  <si>
    <t>2010.07.06</t>
  </si>
  <si>
    <t>2021.07.26</t>
  </si>
  <si>
    <t>박시은</t>
  </si>
  <si>
    <t>SIEUN PARK</t>
  </si>
  <si>
    <t>Rosie</t>
  </si>
  <si>
    <t>2021F0901</t>
  </si>
  <si>
    <t>10084</t>
  </si>
  <si>
    <t>경기도 김포시 김포한강3로 290-13 608동 2102호 (장기동, 고창마을 한양수자인 리버팰리스)</t>
  </si>
  <si>
    <t>2006.03.13</t>
  </si>
  <si>
    <t>박성순</t>
  </si>
  <si>
    <t>이혜경</t>
  </si>
  <si>
    <t>lordvader0901@gmail.com, solee188@naver.com</t>
  </si>
  <si>
    <t>010-8649-9310</t>
  </si>
  <si>
    <t>010-9358-3357</t>
  </si>
  <si>
    <t>unpaid</t>
  </si>
  <si>
    <t>Test date:2018.11.2 / 2021.07.26 / (2019년 봄학기 정시입학-&gt; 2021 Spring 자퇴-&gt; 2021 Fall 재입학)</t>
  </si>
  <si>
    <t>2021.07.27</t>
  </si>
  <si>
    <t>박예영</t>
  </si>
  <si>
    <t>YEYOUNG PARK</t>
  </si>
  <si>
    <t xml:space="preserve"> Hannah</t>
  </si>
  <si>
    <t>2021F0801</t>
  </si>
  <si>
    <t>10209</t>
  </si>
  <si>
    <t>경기도 고양시 일산서구 가좌3로 45, 212-703 (가좌동, 가좌마을)</t>
  </si>
  <si>
    <t>박영민</t>
  </si>
  <si>
    <t>우지혜</t>
  </si>
  <si>
    <t>davidympark@gmail.com, 3351040@gmail.com</t>
  </si>
  <si>
    <t>010-9105-2818</t>
  </si>
  <si>
    <t>010-5933-1040</t>
  </si>
  <si>
    <r>
      <rPr>
        <sz val="9"/>
        <color theme="1"/>
        <rFont val="Arial"/>
        <family val="2"/>
      </rPr>
      <t xml:space="preserve">Test date: 2021.07.26 </t>
    </r>
    <r>
      <rPr>
        <b/>
        <sz val="9"/>
        <color rgb="FFFF0000"/>
        <rFont val="Arial"/>
        <family val="2"/>
      </rPr>
      <t>(7/30일 후디티 + Polo-T 배부 완료)</t>
    </r>
  </si>
  <si>
    <t>2021.07.29</t>
  </si>
  <si>
    <t xml:space="preserve">김호수 </t>
  </si>
  <si>
    <t>JOSHUA HOSU KIM</t>
  </si>
  <si>
    <t>2021F0101</t>
  </si>
  <si>
    <t>10229</t>
  </si>
  <si>
    <t>경기도 고양시 일산서구 하이파크3로 111, 212동 2102호</t>
  </si>
  <si>
    <t>2015.04.04</t>
  </si>
  <si>
    <t>김종현</t>
  </si>
  <si>
    <t>오현정</t>
  </si>
  <si>
    <t>juliet0321@kakao.com, jaykim58@gmail.com</t>
  </si>
  <si>
    <t>02-2664-1176</t>
  </si>
  <si>
    <t>010-9112-9139</t>
  </si>
  <si>
    <t xml:space="preserve">010-5202-0321
010-9112-9139
</t>
  </si>
  <si>
    <t>Test date: 2021.07.28</t>
  </si>
  <si>
    <t>2021.08.13</t>
  </si>
  <si>
    <t>2021.08.18</t>
  </si>
  <si>
    <t>백예린</t>
  </si>
  <si>
    <t>YERIN BAEK</t>
  </si>
  <si>
    <t>Yerin</t>
  </si>
  <si>
    <t>2021F0802</t>
  </si>
  <si>
    <t>06326</t>
  </si>
  <si>
    <t>서울특별시 강남구 선릉로 8, 218-606</t>
  </si>
  <si>
    <t>2007.11.07</t>
  </si>
  <si>
    <t>백진우</t>
  </si>
  <si>
    <t>김미숙</t>
  </si>
  <si>
    <t>kokomind@gmail.com, maria1771@naver.com</t>
  </si>
  <si>
    <t>010-8578-7219</t>
  </si>
  <si>
    <t>010-7619-7219</t>
  </si>
  <si>
    <t>010-7108-7219</t>
  </si>
  <si>
    <t>Test date: 2021.08.12</t>
  </si>
  <si>
    <t>2021.11.04</t>
  </si>
  <si>
    <t>2022.01.05</t>
  </si>
  <si>
    <t>육심비</t>
  </si>
  <si>
    <t>SIMBI YOUK</t>
  </si>
  <si>
    <t>Simbi</t>
  </si>
  <si>
    <t>2022S0401</t>
  </si>
  <si>
    <t>서울시 동대문구 답십리로 38길 14 한신휴그린 101동 207호 -&gt;
(이사예정)경기도 고양시 일산서구 덕이동 1535 하이파크시티 일산 파밀리에 4단지 402동 1805호</t>
  </si>
  <si>
    <t>2011.02.15</t>
  </si>
  <si>
    <t>육철주</t>
  </si>
  <si>
    <t>강수연</t>
  </si>
  <si>
    <t>chul56chul@naver.com, sykang9442@gmail.com</t>
  </si>
  <si>
    <t>010-9260-7291</t>
  </si>
  <si>
    <t>010-3346-9442</t>
  </si>
  <si>
    <t>010-2168-7291</t>
  </si>
  <si>
    <r>
      <rPr>
        <sz val="9"/>
        <color theme="1"/>
        <rFont val="Arial"/>
        <family val="2"/>
      </rPr>
      <t>Test date: 2021.11.03</t>
    </r>
    <r>
      <rPr>
        <b/>
        <sz val="9"/>
        <color rgb="FFFF0000"/>
        <rFont val="Arial"/>
        <family val="2"/>
      </rPr>
      <t>(12/30일 후디티 배부 완료)</t>
    </r>
  </si>
  <si>
    <t>육하일</t>
  </si>
  <si>
    <t>HAIL YOUK</t>
  </si>
  <si>
    <t>Hail</t>
  </si>
  <si>
    <t>2022S0201</t>
  </si>
  <si>
    <t>2013.08.31</t>
  </si>
  <si>
    <t>010-8323-7291</t>
  </si>
  <si>
    <r>
      <rPr>
        <sz val="9"/>
        <color theme="1"/>
        <rFont val="Arial"/>
        <family val="2"/>
      </rPr>
      <t>Test date: 2021.11.03</t>
    </r>
    <r>
      <rPr>
        <b/>
        <sz val="9"/>
        <color rgb="FFFF0000"/>
        <rFont val="Arial"/>
        <family val="2"/>
      </rPr>
      <t>(12/30일 후디티 배부 완료)</t>
    </r>
  </si>
  <si>
    <t>2021.11.05</t>
  </si>
  <si>
    <t>안수지</t>
  </si>
  <si>
    <t>SUJI AN</t>
  </si>
  <si>
    <t>Suji</t>
  </si>
  <si>
    <t>2021F0902</t>
  </si>
  <si>
    <t>경기도 고양시 일산서구 하이파크3로 111, 209동 1103호</t>
  </si>
  <si>
    <t>2006.06.13</t>
  </si>
  <si>
    <t>안정민</t>
  </si>
  <si>
    <t>이윤기</t>
  </si>
  <si>
    <t>akajungmin@gmail.com, sombi1224@naver.com</t>
  </si>
  <si>
    <t>010-6730-8743</t>
  </si>
  <si>
    <t>010-8725-1446</t>
  </si>
  <si>
    <t>010-3434-1446</t>
  </si>
  <si>
    <t>2021.11.22</t>
  </si>
  <si>
    <r>
      <rPr>
        <sz val="9"/>
        <color theme="1"/>
        <rFont val="Arial"/>
        <family val="2"/>
      </rPr>
      <t>Test date: 2021.11.04</t>
    </r>
    <r>
      <rPr>
        <b/>
        <sz val="9"/>
        <color rgb="FFFF0000"/>
        <rFont val="Arial"/>
        <family val="2"/>
      </rPr>
      <t>(11/22일 후디티 배부 완료, 22/04/28 폴라티 배부 완료)</t>
    </r>
  </si>
  <si>
    <t>2021.11.08</t>
  </si>
  <si>
    <t>HANKYOL LEE</t>
  </si>
  <si>
    <t>2022S0901</t>
  </si>
  <si>
    <t>10909</t>
  </si>
  <si>
    <t>경기도 파주시 야당동 226-13 에테르 402호</t>
  </si>
  <si>
    <t>2006.01.18</t>
  </si>
  <si>
    <t>이광옥</t>
  </si>
  <si>
    <t>김윤경</t>
  </si>
  <si>
    <t>nanuja9@naver.com</t>
  </si>
  <si>
    <t>010-6577-0807</t>
  </si>
  <si>
    <t>010-6706-8070</t>
  </si>
  <si>
    <r>
      <rPr>
        <sz val="9"/>
        <color theme="1"/>
        <rFont val="Arial"/>
        <family val="2"/>
      </rPr>
      <t>Test date: 2021.11.05</t>
    </r>
    <r>
      <rPr>
        <b/>
        <sz val="9"/>
        <color rgb="FFFF0000"/>
        <rFont val="Arial"/>
        <family val="2"/>
      </rPr>
      <t>(후디 배부 완료)</t>
    </r>
  </si>
  <si>
    <t>2021.12.16</t>
  </si>
  <si>
    <t>전예성</t>
  </si>
  <si>
    <t>YESUNG JEON</t>
  </si>
  <si>
    <t>Yesung</t>
  </si>
  <si>
    <t>2022S0101</t>
  </si>
  <si>
    <t>10332</t>
  </si>
  <si>
    <t>경기도 고양시 일산동구 탄중로 385, 중산마을 1102동 201호</t>
  </si>
  <si>
    <t>2015.09.30</t>
  </si>
  <si>
    <t>전규상</t>
  </si>
  <si>
    <t>최현정</t>
  </si>
  <si>
    <t>neverks@hanmail.net, hyuni0313@hanmail.net</t>
  </si>
  <si>
    <t>010-7162-7248</t>
  </si>
  <si>
    <t>010-4566-2298</t>
  </si>
  <si>
    <t>Test date: 2021.12.16(후디 배부 완료)</t>
  </si>
  <si>
    <t>2021.12.28</t>
  </si>
  <si>
    <t>Dawit</t>
  </si>
  <si>
    <t>2022S0902</t>
  </si>
  <si>
    <t>10086</t>
  </si>
  <si>
    <t>경기도 김포시 김포한강3로 289, 4층</t>
  </si>
  <si>
    <t>2006.08.18</t>
  </si>
  <si>
    <t>박신영</t>
  </si>
  <si>
    <t>신빛나</t>
  </si>
  <si>
    <t>sypjesus@hanmail.net, lovebitna@gmail.com</t>
  </si>
  <si>
    <t>010-9123-3956</t>
  </si>
  <si>
    <t>010-4161-7387</t>
  </si>
  <si>
    <t>010-4996-3956</t>
  </si>
  <si>
    <t>Test date: 2021.12.23(후디 배부 완료)</t>
  </si>
  <si>
    <t>2022.01.13</t>
  </si>
  <si>
    <t>2022.01.19</t>
  </si>
  <si>
    <t>박하율</t>
  </si>
  <si>
    <t>HAYULE PARK</t>
  </si>
  <si>
    <t>Hayule</t>
  </si>
  <si>
    <t>10368</t>
  </si>
  <si>
    <t>경기도 고양시 일산서구 대화동 성저로 70, 10-3 1층</t>
  </si>
  <si>
    <t>2013.01.10</t>
  </si>
  <si>
    <t>박성호</t>
  </si>
  <si>
    <t>김연실</t>
  </si>
  <si>
    <t>DREAMTECTURE@gmail.com, yonsiri0110@naver.com</t>
  </si>
  <si>
    <t>010-5440-2004</t>
  </si>
  <si>
    <t>010-9161-0108</t>
  </si>
  <si>
    <t>010-7169-0108</t>
  </si>
  <si>
    <t>Test date: 2022.01.12(후디 배부 완료)</t>
  </si>
  <si>
    <t>2022.01.14</t>
  </si>
  <si>
    <t>이지아</t>
  </si>
  <si>
    <t>JIA LEE</t>
  </si>
  <si>
    <t>Jia</t>
  </si>
  <si>
    <t>2022S0102</t>
  </si>
  <si>
    <t>경기도 파주시 심학산로 385, 1009동 101호</t>
  </si>
  <si>
    <t>2015.09.08</t>
  </si>
  <si>
    <t>이용규</t>
  </si>
  <si>
    <t>임창인</t>
  </si>
  <si>
    <t>good77@daum.net, mumschool@naver.com</t>
  </si>
  <si>
    <t>010-6500-6806</t>
  </si>
  <si>
    <t>010-7569-0508</t>
  </si>
  <si>
    <t>Test date: 2022.01.13(후디 배부 완료)</t>
  </si>
  <si>
    <t>이지오</t>
  </si>
  <si>
    <t>GIO LEE</t>
  </si>
  <si>
    <t>Gio</t>
  </si>
  <si>
    <t>2022S0501</t>
  </si>
  <si>
    <t>2010.05.08</t>
  </si>
  <si>
    <t>010-5835-6806</t>
  </si>
  <si>
    <t>peteryoo@liskorea.org</t>
  </si>
  <si>
    <t>오지아</t>
  </si>
  <si>
    <t>ELLA OH</t>
  </si>
  <si>
    <t>2022S0302</t>
  </si>
  <si>
    <t>10322</t>
  </si>
  <si>
    <t>경기도 고양시 일산동구 위시티4로 46, 213동 1801호</t>
  </si>
  <si>
    <t>2012.09.07</t>
  </si>
  <si>
    <t>오남헌</t>
  </si>
  <si>
    <t>김나연</t>
  </si>
  <si>
    <t>pulumylly@gmail.com, nayeonkim849@gmail.com</t>
  </si>
  <si>
    <t>010-8007-1026</t>
  </si>
  <si>
    <t>010-2583-8906</t>
  </si>
  <si>
    <t>010-7616-8906</t>
  </si>
  <si>
    <t>이이레</t>
  </si>
  <si>
    <t>IREH LEE</t>
  </si>
  <si>
    <t>Ireh</t>
  </si>
  <si>
    <t>2022S0103</t>
  </si>
  <si>
    <t>경기도 고양시 일산동구 일산로 205, 212동 902호</t>
  </si>
  <si>
    <t>2015.09.11</t>
  </si>
  <si>
    <t>이승원</t>
  </si>
  <si>
    <t>홍민정</t>
  </si>
  <si>
    <t>hongtal@naver.com</t>
  </si>
  <si>
    <t>010-9098-7908</t>
  </si>
  <si>
    <t>010-2739-9200</t>
  </si>
  <si>
    <t>Test date: 2022.01.19(후디 배부 완료, 폴로티 배부 완료)</t>
  </si>
  <si>
    <t>2022.01.26</t>
  </si>
  <si>
    <t>2022.01.27</t>
  </si>
  <si>
    <t>송다희</t>
  </si>
  <si>
    <t>ISABELLA RACHEL SONG</t>
  </si>
  <si>
    <t>2022S0701</t>
  </si>
  <si>
    <t>10324</t>
  </si>
  <si>
    <t>경기도 고양시 일산동구 위시티1로 7, 503동 2004호</t>
  </si>
  <si>
    <t>2009.03.16</t>
  </si>
  <si>
    <t>Bruce Shiwoong Song</t>
  </si>
  <si>
    <t>Jessica Park Song</t>
  </si>
  <si>
    <t>masterswsong@gmail.com, jessicaparksong@gmail.com</t>
  </si>
  <si>
    <t>010-7528-5772</t>
  </si>
  <si>
    <t>010-8295-5772</t>
  </si>
  <si>
    <t>010-7610-5772</t>
  </si>
  <si>
    <t>Test date: 2022.01.25(후디 배부 완료)</t>
  </si>
  <si>
    <t>이하음</t>
  </si>
  <si>
    <t>HAEUM LEE</t>
  </si>
  <si>
    <t>Haeum</t>
  </si>
  <si>
    <t>2202S0601</t>
  </si>
  <si>
    <t>22002</t>
  </si>
  <si>
    <t>인천 연수구 송도동 더샵그린워크 1602동 503호</t>
  </si>
  <si>
    <t>2009.01.09</t>
  </si>
  <si>
    <t>이훈석</t>
  </si>
  <si>
    <t>이미나</t>
  </si>
  <si>
    <t>ryanlee0@snu.ac.kr, adasol1004@naver.com</t>
  </si>
  <si>
    <t>010-2317-7006</t>
  </si>
  <si>
    <t>010-4527-0749</t>
  </si>
  <si>
    <t>010-3611-0749</t>
  </si>
  <si>
    <t>2022.01.28</t>
  </si>
  <si>
    <t>2022.02.03</t>
  </si>
  <si>
    <t>손아현</t>
  </si>
  <si>
    <t>AH HYEON SON</t>
  </si>
  <si>
    <t>Ahhyeon</t>
  </si>
  <si>
    <t>2202S0104</t>
  </si>
  <si>
    <t>경기도 고양시 일산서구 하이파크 3로 61, 파밀리에시티 408동 303호</t>
  </si>
  <si>
    <t>2015.03.15</t>
  </si>
  <si>
    <t>손홍선</t>
  </si>
  <si>
    <t>김다인</t>
  </si>
  <si>
    <t>xiom5017@naver.com</t>
  </si>
  <si>
    <t>010-3795-5017</t>
  </si>
  <si>
    <t>010-2180-0797</t>
  </si>
  <si>
    <t>2022.02.23</t>
  </si>
  <si>
    <t>2022.03.03</t>
  </si>
  <si>
    <t>전하늘가온</t>
  </si>
  <si>
    <t>HANUEL GAON JEON</t>
  </si>
  <si>
    <t>2022S0602</t>
  </si>
  <si>
    <t>10390</t>
  </si>
  <si>
    <t xml:space="preserve">경기도 고양시 일산서구 킨텍스로255 디엠시티스카이뷰 102동 1802 </t>
  </si>
  <si>
    <t>2009.07.29</t>
  </si>
  <si>
    <t>전상율</t>
  </si>
  <si>
    <t>박수연</t>
  </si>
  <si>
    <t>braveheart1006@hanmail.net, suey280@naver.com</t>
  </si>
  <si>
    <t>010-6495-1827</t>
  </si>
  <si>
    <t>010-5404-1827</t>
  </si>
  <si>
    <t>010-8580-1827</t>
  </si>
  <si>
    <t>2022.03.04</t>
  </si>
  <si>
    <t>Test date: 2022.03.03(후디 배부 완료)</t>
  </si>
  <si>
    <t>2022.03.21</t>
  </si>
  <si>
    <t>2022.03.22</t>
  </si>
  <si>
    <t>장세윤</t>
  </si>
  <si>
    <t>SEYUN JANG</t>
  </si>
  <si>
    <t>Seyun</t>
  </si>
  <si>
    <t>2022S0702</t>
  </si>
  <si>
    <t>경기도 파주시 심학산로 385, 1004동 404호</t>
  </si>
  <si>
    <t>2008.05.29</t>
  </si>
  <si>
    <t>장지순</t>
  </si>
  <si>
    <t>김지영</t>
  </si>
  <si>
    <t>darkzidan@naver.com, kjy75a@naver.com</t>
  </si>
  <si>
    <t>010-8864-3255</t>
  </si>
  <si>
    <t>010-9464-1688</t>
  </si>
  <si>
    <t>010-3876-3255</t>
  </si>
  <si>
    <t>2022.04.04</t>
  </si>
  <si>
    <t>Test date: 2022.04.05(후디 배부 완료)</t>
  </si>
  <si>
    <t>2022.04.15</t>
  </si>
  <si>
    <t>2022.04.26</t>
  </si>
  <si>
    <t>손어진</t>
  </si>
  <si>
    <t>EOJIN SON</t>
  </si>
  <si>
    <t>Jaden</t>
  </si>
  <si>
    <t xml:space="preserve"> 10239</t>
  </si>
  <si>
    <t>경기도 고양시 일산서구 일현로 140, 128동 203호</t>
  </si>
  <si>
    <t>2013.07.24</t>
  </si>
  <si>
    <t>손병호</t>
  </si>
  <si>
    <t>신진선</t>
  </si>
  <si>
    <t>shinjs-@hanmail.net</t>
  </si>
  <si>
    <t>010-4453-0558</t>
  </si>
  <si>
    <t>010-7922-0522</t>
  </si>
  <si>
    <t>2022.05.01</t>
  </si>
  <si>
    <t>Test date: 2022.04.14 (후디, 폴라티 배부 완료 5/10)</t>
  </si>
  <si>
    <t>2022.04.25</t>
  </si>
  <si>
    <t>김해인</t>
  </si>
  <si>
    <t>HAEIN KIM</t>
  </si>
  <si>
    <t>2022F0601</t>
  </si>
  <si>
    <t>03686</t>
  </si>
  <si>
    <t xml:space="preserve"> 서울특별시 서대문구 증가로 191 (DMC래미안클라시스) 113-502</t>
  </si>
  <si>
    <t>2016.09.03</t>
  </si>
  <si>
    <t>김진문</t>
  </si>
  <si>
    <t>정희라</t>
  </si>
  <si>
    <t>moonrain0903@gmail.com, esle111@naver.com</t>
  </si>
  <si>
    <t>010-6811-6924</t>
  </si>
  <si>
    <t>010-6223-4689</t>
  </si>
  <si>
    <t>Test date: 2022.04.15</t>
  </si>
  <si>
    <t>서소윤</t>
  </si>
  <si>
    <t>SOYOON SEO</t>
  </si>
  <si>
    <t>Irene</t>
  </si>
  <si>
    <t>2022F0602</t>
  </si>
  <si>
    <t xml:space="preserve"> 경기도 김포시 김포한강8로218번길 32, 로렌하우스 621동 1호</t>
  </si>
  <si>
    <t>2016.02.11</t>
  </si>
  <si>
    <t>서용혁</t>
  </si>
  <si>
    <t>서인정</t>
  </si>
  <si>
    <t>reonado@naver.com, linna1004@naver.com</t>
  </si>
  <si>
    <t>010-7161-9937</t>
  </si>
  <si>
    <t>010-9996-9761</t>
  </si>
  <si>
    <t>2022.05.10</t>
  </si>
  <si>
    <t>YIGEON</t>
  </si>
  <si>
    <t xml:space="preserve"> 07390</t>
  </si>
  <si>
    <t xml:space="preserve"> 서울특별시 영등포구 신풍로 77 래미안에스티움 107-1203</t>
  </si>
  <si>
    <t>2022.05.27</t>
  </si>
  <si>
    <t>이시율</t>
  </si>
  <si>
    <t>SIYUL LEE</t>
  </si>
  <si>
    <t>2022F0604</t>
  </si>
  <si>
    <t>경기도 파주시 한빛로 70 (한빛마을 5단지 캐슬앤칸타빌), 522-2801</t>
  </si>
  <si>
    <t>2016.04.12</t>
  </si>
  <si>
    <t>이종현</t>
  </si>
  <si>
    <t>안윤경</t>
  </si>
  <si>
    <t>ebelllight@naver.com, jennifer7803@naver.com</t>
  </si>
  <si>
    <t>010-6761-6061</t>
  </si>
  <si>
    <t>010-6751-6061</t>
  </si>
  <si>
    <t>Test date: 2022.05.26</t>
  </si>
  <si>
    <t>2022.05.30</t>
  </si>
  <si>
    <t>최은도</t>
  </si>
  <si>
    <t>EUN-DO CHOI</t>
  </si>
  <si>
    <t>Andrew</t>
  </si>
  <si>
    <t>2022S0502</t>
  </si>
  <si>
    <t>경기도 파주시 책향기로 420(책향기 마을 11단지 신동아 파밀리에), 1103-205</t>
  </si>
  <si>
    <t>2011.04.29</t>
  </si>
  <si>
    <t>최종원</t>
  </si>
  <si>
    <t>김태은</t>
  </si>
  <si>
    <t>HiJong@hotmail.com, kte1017@hotmail.com</t>
  </si>
  <si>
    <t>469-733-3697</t>
  </si>
  <si>
    <t>010-9222-9614</t>
  </si>
  <si>
    <t>010-8838-2554</t>
  </si>
  <si>
    <t>Test date: 2022.05.27</t>
  </si>
  <si>
    <t>2022.05.31</t>
  </si>
  <si>
    <t>2022.07.14</t>
  </si>
  <si>
    <t>LOHA</t>
  </si>
  <si>
    <t>경기도 파주시 청석로 350(다율동, 청석마을 동문 굿모닝힐) 802-1302</t>
  </si>
  <si>
    <t>donghyunkim@yahoo.com, coramdeo517@hanmail.net</t>
  </si>
  <si>
    <t>010-8373-4565</t>
  </si>
  <si>
    <t>양하엘</t>
  </si>
  <si>
    <t>HAEL YANG</t>
  </si>
  <si>
    <t>HAEL</t>
  </si>
  <si>
    <t>2022F0606</t>
  </si>
  <si>
    <t>22864</t>
  </si>
  <si>
    <t>인천광역시 서구 이음5로 65 검단금호 어울림센트럴 2407-1202</t>
  </si>
  <si>
    <t>2016.03.18</t>
  </si>
  <si>
    <t>양시곤</t>
  </si>
  <si>
    <t>전은경</t>
  </si>
  <si>
    <t>hael0318@gmail.com</t>
  </si>
  <si>
    <t>010-2701-9862</t>
  </si>
  <si>
    <t>010-7345-8877</t>
  </si>
  <si>
    <t>2022.06.09</t>
  </si>
  <si>
    <t>이에스더</t>
  </si>
  <si>
    <t>ESTHER LEE</t>
  </si>
  <si>
    <t>2022F0607</t>
  </si>
  <si>
    <t>경기도 고양시 일산동구 위시티4로 45 (위시티일산자이4단지 아파트), 411-1902</t>
  </si>
  <si>
    <t>2006.04.21</t>
  </si>
  <si>
    <t>010-5452-3681</t>
  </si>
  <si>
    <t>2022.07.13</t>
  </si>
  <si>
    <t>Test date: 2022.06.08</t>
  </si>
  <si>
    <t>2022.06.14</t>
  </si>
  <si>
    <t>황연우</t>
  </si>
  <si>
    <t>YEONWOO HWANG</t>
  </si>
  <si>
    <t>ROY</t>
  </si>
  <si>
    <t>23025</t>
  </si>
  <si>
    <t>인천광역시 강화군 강화읍 강화대로216번길 35</t>
  </si>
  <si>
    <t>황경록</t>
  </si>
  <si>
    <t>박성화</t>
  </si>
  <si>
    <t>sunghwa_park@naver.com</t>
  </si>
  <si>
    <t>010-2593-0251</t>
  </si>
  <si>
    <t>010-3645-4432</t>
  </si>
  <si>
    <t>Test date: 2022.06.13</t>
  </si>
  <si>
    <t>황선우</t>
  </si>
  <si>
    <t>SUNWOO HWANG</t>
  </si>
  <si>
    <t>JOSHUA</t>
  </si>
  <si>
    <t>2022F0802</t>
  </si>
  <si>
    <t>2014.07.22</t>
  </si>
  <si>
    <t>백진희</t>
  </si>
  <si>
    <t>2022.06.16</t>
  </si>
  <si>
    <t>김동규</t>
  </si>
  <si>
    <t>DONGKYU KIM</t>
  </si>
  <si>
    <t>DONGKYU</t>
  </si>
  <si>
    <t>2022F0609</t>
  </si>
  <si>
    <t>경기도 고양시 일산서구 하이파크3로 111, (일산 파밀리에 2단지 아파트) 209-1003</t>
  </si>
  <si>
    <t>2008.01.21</t>
  </si>
  <si>
    <t>김종래</t>
  </si>
  <si>
    <t>김지윤</t>
  </si>
  <si>
    <t>topclick90@kakao.com, jyjeong0@naver.com</t>
  </si>
  <si>
    <t>010-8928-6738</t>
  </si>
  <si>
    <t>010-7354-7654</t>
  </si>
  <si>
    <t>2022.07.05</t>
  </si>
  <si>
    <t>Test date: 2022.06.15</t>
  </si>
  <si>
    <t>2022.06.27</t>
  </si>
  <si>
    <t>권선우</t>
  </si>
  <si>
    <t>SEON WOO KWON</t>
  </si>
  <si>
    <t>Ashlee</t>
  </si>
  <si>
    <t>2022F0610</t>
  </si>
  <si>
    <t>10211</t>
  </si>
  <si>
    <t xml:space="preserve"> 경기도 고양시 일산서구 가좌1로 10, 511-1801</t>
  </si>
  <si>
    <t>2009.11.29</t>
  </si>
  <si>
    <t>권완준</t>
  </si>
  <si>
    <t>김자윤</t>
  </si>
  <si>
    <t>moii89@naver.com , etoilejoo@gmail.com</t>
  </si>
  <si>
    <t>010-2752-1123</t>
  </si>
  <si>
    <t>010-7158-8358</t>
  </si>
  <si>
    <t>010-2432-9058</t>
  </si>
  <si>
    <t>Test date: 2022.06.24</t>
  </si>
  <si>
    <t>2022.06.28</t>
  </si>
  <si>
    <t>김은오</t>
  </si>
  <si>
    <t>EUN OH KIM</t>
  </si>
  <si>
    <t>Ashley</t>
  </si>
  <si>
    <t>2022F0611</t>
  </si>
  <si>
    <t xml:space="preserve"> 경기도 고양시 일산서구 하이파크3로 61 (하이파크시티일산파밀리에4단지) 401-1003</t>
  </si>
  <si>
    <t>2010.01.12</t>
  </si>
  <si>
    <t>임서윤</t>
  </si>
  <si>
    <t>healthyman94@gmail.com  , sweetrain0112@naver.com</t>
  </si>
  <si>
    <t>010-9922-6799</t>
  </si>
  <si>
    <t>PYEONG AN OH</t>
  </si>
  <si>
    <t>PYEONG AN</t>
  </si>
  <si>
    <t>22628</t>
  </si>
  <si>
    <t>인천광역시 서구 검단로 836 (월드아파트) 117-502</t>
  </si>
  <si>
    <t>SION</t>
  </si>
  <si>
    <t>2022.08.12</t>
  </si>
  <si>
    <t xml:space="preserve"> 경기도 파주시 한울로 101 (휴먼시아한울마을) </t>
  </si>
  <si>
    <t>안시우</t>
  </si>
  <si>
    <t>SIU AHN</t>
  </si>
  <si>
    <t>Siu</t>
  </si>
  <si>
    <t>경기도 파주시 심학산로 234 (초롱꽃마을8단지) 815-203</t>
  </si>
  <si>
    <t>2012.04.08</t>
  </si>
  <si>
    <t>안태욱</t>
  </si>
  <si>
    <t>김희경</t>
  </si>
  <si>
    <t>atw747@naver.com , qnsdl00@naver.com</t>
  </si>
  <si>
    <t>010-3322-2695</t>
  </si>
  <si>
    <t>010-6275-1541</t>
  </si>
  <si>
    <t>010-7641-2695</t>
  </si>
  <si>
    <t>2022.07.22</t>
  </si>
  <si>
    <t>2022.07.27</t>
  </si>
  <si>
    <t>이주현</t>
  </si>
  <si>
    <t>JUHYEON LEE</t>
  </si>
  <si>
    <t>Ju</t>
  </si>
  <si>
    <t>2022F0803</t>
  </si>
  <si>
    <t xml:space="preserve">경기도 파주시 한빛로 11 (한빛마을3단지 자유로아이파크) ,  305동 1602호 </t>
  </si>
  <si>
    <t>2007.06.15</t>
  </si>
  <si>
    <t>이상훈</t>
  </si>
  <si>
    <t>김은실</t>
  </si>
  <si>
    <t>mark.lee@cj.net , sweetie731125@gmail.com</t>
  </si>
  <si>
    <t>010-3428-2733</t>
  </si>
  <si>
    <t>Test date: 2022.07.21</t>
  </si>
  <si>
    <t>2022.08.16</t>
  </si>
  <si>
    <t>2022.08.29</t>
  </si>
  <si>
    <t>김예경</t>
  </si>
  <si>
    <t>YEGYEONG KIM</t>
  </si>
  <si>
    <t>Sharon</t>
  </si>
  <si>
    <t>2022F0804</t>
  </si>
  <si>
    <t>10270</t>
  </si>
  <si>
    <t>경기도 고양시 덕양구 푸른마을로 54, 403동 1202호</t>
  </si>
  <si>
    <t>2006.12.10</t>
  </si>
  <si>
    <t>김귀혁</t>
  </si>
  <si>
    <t>김은정</t>
  </si>
  <si>
    <t>hanlsogi@daum.net , ejpray@naver.com</t>
  </si>
  <si>
    <t>010-9260-5736</t>
  </si>
  <si>
    <t>010-6202-0172</t>
  </si>
  <si>
    <t>010-5780-0172</t>
  </si>
  <si>
    <t>KELLY HEAWON JUNG</t>
  </si>
  <si>
    <t xml:space="preserve"> 경기도 파주시 초롱꽃로 130 (파주운정신도시 디에트르 더 퍼스트) 1311-1304</t>
  </si>
  <si>
    <t>010-8048-6643</t>
  </si>
  <si>
    <t>렴가은</t>
  </si>
  <si>
    <t>GAEUN YEOM LIAN</t>
  </si>
  <si>
    <t>2022F0806</t>
  </si>
  <si>
    <t>04380</t>
  </si>
  <si>
    <t>서울특별시 용산구 이촌로29길 21-7 (한강로우림필유아파트) 104-1101</t>
  </si>
  <si>
    <t>2011.06.03</t>
  </si>
  <si>
    <t>렴문홍</t>
  </si>
  <si>
    <t>김해월</t>
  </si>
  <si>
    <t>jhylwh@hanmail.net , jhy1112kr@hanmail.net</t>
  </si>
  <si>
    <t>010-5256-7542</t>
  </si>
  <si>
    <t>010-2079-4608</t>
  </si>
  <si>
    <t>010-6755-4608</t>
  </si>
  <si>
    <t>2022.08.18</t>
  </si>
  <si>
    <t>2022.08.24</t>
  </si>
  <si>
    <t>Aarush Akula</t>
  </si>
  <si>
    <t>AKULA  AARUSH</t>
  </si>
  <si>
    <t>AARUSH</t>
  </si>
  <si>
    <t>2022F0901</t>
  </si>
  <si>
    <t xml:space="preserve"> 경기도 고양시 일산서구 킨텍스로 217-23 (일산 더샵 그라비스타) 101-4702</t>
  </si>
  <si>
    <t>2016.09.23</t>
  </si>
  <si>
    <t>KIRANKUMAR AKULA</t>
  </si>
  <si>
    <t>MANASA AKULA</t>
  </si>
  <si>
    <t>a.kirankumarr@gmail.com , manasa1306@gmail.com</t>
  </si>
  <si>
    <t>010-2100-9717</t>
  </si>
  <si>
    <t>010-6875-8806</t>
  </si>
  <si>
    <t>2022.09.01</t>
  </si>
  <si>
    <t>IAN JO</t>
  </si>
  <si>
    <t>IAN</t>
  </si>
  <si>
    <t>오세인</t>
  </si>
  <si>
    <t>SEIN OH</t>
  </si>
  <si>
    <t>Sein</t>
  </si>
  <si>
    <t>2022F0810</t>
  </si>
  <si>
    <t>10233</t>
  </si>
  <si>
    <t>경기도 고양시 일산서구 탄중로101번길 36 (덕이동, 태영아파트) 103-203</t>
  </si>
  <si>
    <t>2006.03.28</t>
  </si>
  <si>
    <t>오완섭</t>
  </si>
  <si>
    <t>조용희</t>
  </si>
  <si>
    <t>choyhfm@naver.com</t>
  </si>
  <si>
    <t>010-8646-3574</t>
  </si>
  <si>
    <t>010-6490-3574</t>
  </si>
  <si>
    <t>010-9478-3574</t>
  </si>
  <si>
    <t>Test date: 2022.08.29</t>
  </si>
  <si>
    <t>2022.08.30</t>
  </si>
  <si>
    <t>문영준</t>
  </si>
  <si>
    <t>YEONGJOON MOON</t>
  </si>
  <si>
    <t>YEONG JOON</t>
  </si>
  <si>
    <t>2022F0808</t>
  </si>
  <si>
    <t xml:space="preserve"> 10374</t>
  </si>
  <si>
    <t xml:space="preserve"> 경기도 고양시 일산서구 강선로 187 (일산동, 후곡마을10단지아파트) 1003-1102</t>
  </si>
  <si>
    <t>2010.06.14</t>
  </si>
  <si>
    <t>문세현</t>
  </si>
  <si>
    <t>김민정</t>
  </si>
  <si>
    <t>aru2284@nate.com , ibbitutti@naver.com</t>
  </si>
  <si>
    <t>010-7244-2284</t>
  </si>
  <si>
    <t>010-9113-7428</t>
  </si>
  <si>
    <t>010-5896-7428</t>
  </si>
  <si>
    <t>2022.09.01.</t>
  </si>
  <si>
    <t>Test date: 2022.08.25</t>
  </si>
  <si>
    <t>2022.10.04</t>
  </si>
  <si>
    <t>김동희</t>
  </si>
  <si>
    <t>DONGHEE KIM</t>
  </si>
  <si>
    <t>Dan</t>
  </si>
  <si>
    <t>2022F1276</t>
  </si>
  <si>
    <t>경기도 고양시 일산서구 일현로 97-11, 일산위브더제니스 104동 2104호</t>
  </si>
  <si>
    <t>2011.04.15</t>
  </si>
  <si>
    <t>김종국</t>
  </si>
  <si>
    <t>박상미</t>
  </si>
  <si>
    <t>nuskin96@naver.com , kj7402kj@naver.com</t>
  </si>
  <si>
    <t>010-9868-7011</t>
  </si>
  <si>
    <t>010-4300-7802</t>
  </si>
  <si>
    <t>010-3909-7011</t>
  </si>
  <si>
    <t>2022.10.05</t>
  </si>
  <si>
    <t>Test date: 2022.09.30</t>
  </si>
  <si>
    <t>2022.11.18</t>
  </si>
  <si>
    <t>김미소</t>
  </si>
  <si>
    <t>KIM MISO</t>
  </si>
  <si>
    <t>Angela</t>
  </si>
  <si>
    <t>2023S1277</t>
  </si>
  <si>
    <t>10074</t>
  </si>
  <si>
    <t>경기도 김포시 김포한강11로 438번길 200-29</t>
  </si>
  <si>
    <t>2012.07.10</t>
  </si>
  <si>
    <t>김진태</t>
  </si>
  <si>
    <t>xrine@naver.com, ngirl98@naver.com</t>
  </si>
  <si>
    <t>010-4553-2885</t>
  </si>
  <si>
    <t>010-2496-2885</t>
  </si>
  <si>
    <t>Test date: 2022.11.17</t>
  </si>
  <si>
    <t>2022.11.28</t>
  </si>
  <si>
    <t>KIM SOEUN</t>
  </si>
  <si>
    <t>2023S1278</t>
  </si>
  <si>
    <t>10546</t>
  </si>
  <si>
    <t>경기도 고양시 덕양구 향기로 25 호반 302동 2401호</t>
  </si>
  <si>
    <t>point325@gmail.com</t>
  </si>
  <si>
    <t>2022.12.06</t>
  </si>
  <si>
    <t>한다인</t>
  </si>
  <si>
    <t>HAN DAIN</t>
  </si>
  <si>
    <t>Dain</t>
  </si>
  <si>
    <t>2023S1279</t>
  </si>
  <si>
    <t>경기도 파주시 한빛로 70 (한빛마을 5단지 캐슬앤칸타빌), 502-1301</t>
  </si>
  <si>
    <t>2010.11.03</t>
  </si>
  <si>
    <t>한강수</t>
  </si>
  <si>
    <t>김미경</t>
  </si>
  <si>
    <t>mirdnc@naver.com, kmk1200@nate.com</t>
  </si>
  <si>
    <t>010-5761-7080</t>
  </si>
  <si>
    <t>010-5764-7080</t>
  </si>
  <si>
    <t>010-2700-7780</t>
  </si>
  <si>
    <t>Test date: 2022.12.05</t>
  </si>
  <si>
    <t>2022.12.14</t>
  </si>
  <si>
    <t>최예지</t>
  </si>
  <si>
    <t>CHOI YEJI</t>
  </si>
  <si>
    <t>Jessie</t>
  </si>
  <si>
    <t>2023S1280</t>
  </si>
  <si>
    <t>07542</t>
  </si>
  <si>
    <t>서울시 강서구 양천로 71가길 22 102동 1403호</t>
  </si>
  <si>
    <t>2010.11.30</t>
  </si>
  <si>
    <t>최영태</t>
  </si>
  <si>
    <t>박은영</t>
  </si>
  <si>
    <t>gunachoi@arirang.com</t>
  </si>
  <si>
    <t>010-3836-5789</t>
  </si>
  <si>
    <t>010-6398-9210</t>
  </si>
  <si>
    <t>010-3928-9210</t>
  </si>
  <si>
    <t>Test date: 2022.12.14</t>
  </si>
  <si>
    <t>2022.12.27</t>
  </si>
  <si>
    <t>최윤서</t>
  </si>
  <si>
    <t>CHOI YUN SEO</t>
  </si>
  <si>
    <t>Oliva</t>
  </si>
  <si>
    <t>2023S1281</t>
  </si>
  <si>
    <t>경기도 고양시 일산서구 하이파크로 113 (덕이동, 하이파크시티일산아이파크1단지) 108-203</t>
  </si>
  <si>
    <t>2011.09.19</t>
  </si>
  <si>
    <t>최준호</t>
  </si>
  <si>
    <t>sieun_ssam@naver.com</t>
  </si>
  <si>
    <t>010-8771-7770</t>
  </si>
  <si>
    <t>010-9772-8642</t>
  </si>
  <si>
    <t>Test date: 2022.12.27</t>
  </si>
  <si>
    <t>최현준</t>
  </si>
  <si>
    <t>CHOI HYUN JUN</t>
  </si>
  <si>
    <t>Shawn</t>
  </si>
  <si>
    <t>2023S1282</t>
  </si>
  <si>
    <t>2015.09.16</t>
  </si>
  <si>
    <t>2022.12.28</t>
  </si>
  <si>
    <t>신유진</t>
  </si>
  <si>
    <t>YUJIN SHIN</t>
  </si>
  <si>
    <t>Yujin</t>
  </si>
  <si>
    <t>2023S1283</t>
  </si>
  <si>
    <t>10357</t>
  </si>
  <si>
    <t>경기도 고양시 산두로248 밤가시 건영빌라 408동 103호</t>
  </si>
  <si>
    <t>2010.04.28</t>
  </si>
  <si>
    <t>신동환</t>
  </si>
  <si>
    <t>임선주</t>
  </si>
  <si>
    <t>sjim84333@naver.com</t>
  </si>
  <si>
    <t>010-5501-1230</t>
  </si>
  <si>
    <t>010-8928-2179</t>
  </si>
  <si>
    <t>010-5501-6842</t>
  </si>
  <si>
    <t>Test date: 2022.12.28</t>
  </si>
  <si>
    <t>2024.1.9</t>
  </si>
  <si>
    <t>이영은(Michelle)</t>
  </si>
  <si>
    <t>Hannah</t>
  </si>
  <si>
    <t>경기도 김포시 김포한강2로 113. 305-1501</t>
  </si>
  <si>
    <t>protein365@goodnewscorp.net, protein246@goodnewcorp.net</t>
  </si>
  <si>
    <t>010-4982-2411</t>
  </si>
  <si>
    <t>DAYEUN KIM</t>
  </si>
  <si>
    <t>Dayeun</t>
  </si>
  <si>
    <t>10310</t>
  </si>
  <si>
    <t>경기도 고양시 일산동구 중산로 60 아이파크2차 201-303</t>
  </si>
  <si>
    <t>김설기</t>
  </si>
  <si>
    <t>이은진</t>
  </si>
  <si>
    <t>EUNJIN LEE</t>
  </si>
  <si>
    <t>eunjin</t>
  </si>
  <si>
    <t>2024S1329</t>
  </si>
  <si>
    <t>경기도 파주시 가온로 256 가람마을 1107-403</t>
  </si>
  <si>
    <t>2008.6.24</t>
  </si>
  <si>
    <t>이인희</t>
  </si>
  <si>
    <t>유명숙</t>
  </si>
  <si>
    <t>star00m@naver.com, bestgoood@naver.com</t>
  </si>
  <si>
    <t>010-5095-2708</t>
  </si>
  <si>
    <t>010-5589-2708</t>
  </si>
  <si>
    <t>010-5189-2708</t>
  </si>
  <si>
    <t>Test date :2024.01.11</t>
  </si>
  <si>
    <t>2024.1.16</t>
  </si>
  <si>
    <t>10348</t>
  </si>
  <si>
    <t xml:space="preserve">경기도   고양시  일현로140  큰마을대림아파트 110-1004호 </t>
  </si>
  <si>
    <t>경기도 김포시 한강9로 11, 예미지 412동 605호</t>
  </si>
  <si>
    <t>2024.2.8</t>
  </si>
  <si>
    <t>이명인</t>
  </si>
  <si>
    <t>MYUNGIN LEE</t>
  </si>
  <si>
    <t>2024S1339</t>
  </si>
  <si>
    <t>경기도 파주시 와석순환로87, 한빛마을 616-1203</t>
  </si>
  <si>
    <t>2006.08.02</t>
  </si>
  <si>
    <t>이은창</t>
  </si>
  <si>
    <t>권현정</t>
  </si>
  <si>
    <t>jesuskorea@hanmail.net, ellijung@hanmail.net</t>
  </si>
  <si>
    <t>010-8804-3515</t>
  </si>
  <si>
    <t>010-9854-2773</t>
  </si>
  <si>
    <t>010-4270-2773</t>
  </si>
  <si>
    <t>Test date : 2024.02.06</t>
  </si>
  <si>
    <t>2024.02.25</t>
  </si>
  <si>
    <t>고성제</t>
  </si>
  <si>
    <t>SEONGMIN KO</t>
  </si>
  <si>
    <t>인천서구 검단로 768번길 19 106-203</t>
  </si>
  <si>
    <t>2009.08.15</t>
  </si>
  <si>
    <t>고영문</t>
  </si>
  <si>
    <t>송지혜</t>
  </si>
  <si>
    <t>kym991005@daum.net, sjhkana@naver.com</t>
  </si>
  <si>
    <t>010-2728-1416</t>
  </si>
  <si>
    <t>010-3453-2413</t>
  </si>
  <si>
    <t>010-4315-1416</t>
  </si>
  <si>
    <t>Test date : 2024.02.23</t>
  </si>
  <si>
    <t>고성민</t>
  </si>
  <si>
    <t>SEONGJE KO</t>
  </si>
  <si>
    <t>Caleb</t>
  </si>
  <si>
    <t>2012.06.20</t>
  </si>
  <si>
    <t>010-3459-1416</t>
  </si>
  <si>
    <t>2013.04.28</t>
  </si>
  <si>
    <t>경기도 고양시 일산서구 주엽로 97. 1802동 603호</t>
  </si>
  <si>
    <t>2024.05.29</t>
  </si>
  <si>
    <t>2024.07.05</t>
  </si>
  <si>
    <t>2024.05.23</t>
  </si>
  <si>
    <t>조민결</t>
  </si>
  <si>
    <t>MINGYEOL JO</t>
  </si>
  <si>
    <t>2024F1345</t>
  </si>
  <si>
    <t>경기도 파주시 한빛로 70, 한빛마을 5단지 캐슬앤칸타빌 520동 2301호</t>
  </si>
  <si>
    <t>2008.12.21</t>
  </si>
  <si>
    <t>조성휘</t>
  </si>
  <si>
    <t>김연숙</t>
  </si>
  <si>
    <t>kyul21@naver.com, maskil2024@naver.com</t>
  </si>
  <si>
    <t>010-9432-2672</t>
  </si>
  <si>
    <t>010-7650-4023</t>
  </si>
  <si>
    <t>010-8277-2672</t>
  </si>
  <si>
    <t>Test date : 2024.05.17</t>
  </si>
  <si>
    <t>2024.06.10</t>
  </si>
  <si>
    <t>LAIM SONG</t>
  </si>
  <si>
    <t>06992</t>
  </si>
  <si>
    <t>서울시 동작구 동작대로 39가길 55, 동작금강KCC아파트 107동 801호</t>
  </si>
  <si>
    <t>songgirak@gmail.com, ysshh115@gmail.com</t>
  </si>
  <si>
    <t>2024.06.12</t>
  </si>
  <si>
    <t>이사라</t>
  </si>
  <si>
    <t>SARAH LEE</t>
  </si>
  <si>
    <t>2024F1349</t>
  </si>
  <si>
    <t>2013.05.11</t>
  </si>
  <si>
    <t>이준용</t>
  </si>
  <si>
    <t>이진선</t>
  </si>
  <si>
    <t>tkpcjyclee@gmail.com, tkpcjinsun@gmail.com</t>
  </si>
  <si>
    <t>010-6339-3851</t>
  </si>
  <si>
    <t>010-5720-1971</t>
  </si>
  <si>
    <t>Test date: 2024.06.10</t>
  </si>
  <si>
    <t>2024.06.13</t>
  </si>
  <si>
    <t>황예림</t>
  </si>
  <si>
    <t>YERIM HWANG</t>
  </si>
  <si>
    <t>2024F1351</t>
  </si>
  <si>
    <t>10503</t>
  </si>
  <si>
    <t>경기도 고양시 덕양구 화정동 백양로27, 옥밫마을 14단지 1403동 307호</t>
  </si>
  <si>
    <t>2009.10.08</t>
  </si>
  <si>
    <t>황용길</t>
  </si>
  <si>
    <t>정소희</t>
  </si>
  <si>
    <t>star067@hanmail.net</t>
  </si>
  <si>
    <t>010-7939-9596</t>
  </si>
  <si>
    <t>010-3367-6022</t>
  </si>
  <si>
    <t>010-3928-9596</t>
  </si>
  <si>
    <t xml:space="preserve">Test date : 2024.06.12 / 2024.07.02 여름캠프 이후로 참석 x, 자퇴 및 환불 </t>
  </si>
  <si>
    <t>2024.07.01</t>
  </si>
  <si>
    <t>남원근</t>
  </si>
  <si>
    <t>WON GEUN NAM</t>
  </si>
  <si>
    <t>2024F1352</t>
  </si>
  <si>
    <t>경기도 고양시 일산동구 위시티1로 7, 506동 504호</t>
  </si>
  <si>
    <t>2010.01.20</t>
  </si>
  <si>
    <t>남기포</t>
  </si>
  <si>
    <t>박미정</t>
  </si>
  <si>
    <t>sinhae929@naver.com</t>
  </si>
  <si>
    <t>010-3235-1717</t>
  </si>
  <si>
    <t>010-2606-2192</t>
  </si>
  <si>
    <t>010-6263-2192</t>
  </si>
  <si>
    <t>Test date: 2024.06.28</t>
  </si>
  <si>
    <t>한성진</t>
  </si>
  <si>
    <t>SUNGJIN HAN</t>
  </si>
  <si>
    <t>2020F0703</t>
  </si>
  <si>
    <t>경기도 고양시 일산서구 하이파크3로111 , (일산 파밀리에 2 단지 )210-503</t>
  </si>
  <si>
    <t>2007.02.05</t>
  </si>
  <si>
    <t>한지석</t>
  </si>
  <si>
    <t>윤정훈</t>
  </si>
  <si>
    <t>jisoc@naver.com, 3000jh@hanmail.net</t>
  </si>
  <si>
    <t>010-4013-1755</t>
  </si>
  <si>
    <t xml:space="preserve">010-4013-1755 </t>
  </si>
  <si>
    <t>010-4420-1755</t>
  </si>
  <si>
    <t>2024.07.04</t>
  </si>
  <si>
    <t>최지호</t>
  </si>
  <si>
    <t>JIHO CHOI</t>
  </si>
  <si>
    <t>2024F1353</t>
  </si>
  <si>
    <t>경기도 파주시 범벅들길 123, 중흥S클래스 에듀파크 5단지 503동 703호</t>
  </si>
  <si>
    <t>2008.11.11</t>
  </si>
  <si>
    <t>최규성</t>
  </si>
  <si>
    <t>고경화</t>
  </si>
  <si>
    <t>go414473@naver.com</t>
  </si>
  <si>
    <t>010-5299-3852</t>
  </si>
  <si>
    <t>010-7494-3852</t>
  </si>
  <si>
    <t>Test date: 2024.06.27</t>
  </si>
  <si>
    <t>2024.07.15</t>
  </si>
  <si>
    <t>2024.07.16</t>
  </si>
  <si>
    <t>sula@naver.com, ura8407@naver.com</t>
  </si>
  <si>
    <t>kmakky@naver.com, jjinok@hanmail.net</t>
  </si>
  <si>
    <t>2024.07.18</t>
  </si>
  <si>
    <t>이수민</t>
  </si>
  <si>
    <t>SUMIN LEE</t>
  </si>
  <si>
    <t>2024F1357</t>
  </si>
  <si>
    <t>경기도 고양시 덕양구 향기 2로 22, DMC 호반베르디움 2단지 201동 501호</t>
  </si>
  <si>
    <t xml:space="preserve">F </t>
  </si>
  <si>
    <t>2011.11.05</t>
  </si>
  <si>
    <t>이호철</t>
  </si>
  <si>
    <t>3927do@naver.com</t>
  </si>
  <si>
    <t>010-6209-3734</t>
  </si>
  <si>
    <t>010-2855-9785</t>
  </si>
  <si>
    <t>010-9497-3734</t>
  </si>
  <si>
    <t>2024.07.23</t>
  </si>
  <si>
    <t>최서준</t>
  </si>
  <si>
    <t>SEOJOON CHOI</t>
  </si>
  <si>
    <t>Tom</t>
  </si>
  <si>
    <t>2024F1358</t>
  </si>
  <si>
    <t>경기도 고양시 일산동구 중산로 70, 일산센트럴아이파크 101동 1004호</t>
  </si>
  <si>
    <t>2014.01.11</t>
  </si>
  <si>
    <t>최성우</t>
  </si>
  <si>
    <t>최연아</t>
  </si>
  <si>
    <t>forestcity55@naver.com</t>
  </si>
  <si>
    <t>010-2157-5050</t>
  </si>
  <si>
    <t>010-8688-0814</t>
  </si>
  <si>
    <t>Test date: 2024.07.17</t>
  </si>
  <si>
    <t>2024.07.25</t>
  </si>
  <si>
    <t>황서우</t>
  </si>
  <si>
    <t>SEOWOO HWANG</t>
  </si>
  <si>
    <t>Floria</t>
  </si>
  <si>
    <t>2024F1359</t>
  </si>
  <si>
    <t>경기도 고양시 덕양구 향기2로 22, 201동 401호</t>
  </si>
  <si>
    <t>2013.06.15</t>
  </si>
  <si>
    <t>황일주</t>
  </si>
  <si>
    <t>박채희</t>
  </si>
  <si>
    <t>withuhome@naver.com</t>
  </si>
  <si>
    <t>010-2434-1076</t>
  </si>
  <si>
    <t>010-3658-1842</t>
  </si>
  <si>
    <t>010-3648-1842</t>
  </si>
  <si>
    <t>Test date: 2024.07.19</t>
  </si>
  <si>
    <t>2024.07.31</t>
  </si>
  <si>
    <t>이다인</t>
  </si>
  <si>
    <t>DAIN LEE</t>
  </si>
  <si>
    <t>2024F1360</t>
  </si>
  <si>
    <t>10222</t>
  </si>
  <si>
    <t>경기도 고양시 일산서구 고양대로 255번길 45, 킨텍스 아이파크 902동 602호</t>
  </si>
  <si>
    <t>2014.10.24</t>
  </si>
  <si>
    <t>김광선</t>
  </si>
  <si>
    <t>이희정</t>
  </si>
  <si>
    <t>isaac.kim@watercloud1.com, isaackim2020@gmail.com</t>
  </si>
  <si>
    <t>010-6280-2338</t>
  </si>
  <si>
    <t>010-4198-5613</t>
  </si>
  <si>
    <t>010-3652-4165</t>
  </si>
  <si>
    <t>Test date: 2024.07.18</t>
  </si>
  <si>
    <t>이도윤</t>
  </si>
  <si>
    <t>DOYOON LEE</t>
  </si>
  <si>
    <t>Doyoon</t>
  </si>
  <si>
    <t>2024F1361</t>
  </si>
  <si>
    <t>2024.08.08</t>
  </si>
  <si>
    <t>2024.08.12</t>
  </si>
  <si>
    <t>YOON KWON CHOI</t>
  </si>
  <si>
    <t>2024.05.01</t>
  </si>
  <si>
    <t xml:space="preserve"> 2024.08.16</t>
  </si>
  <si>
    <t>렴위은</t>
  </si>
  <si>
    <t>WIEUN YEOM LIAN</t>
  </si>
  <si>
    <t>2024F1363</t>
  </si>
  <si>
    <t>경기도 고양시 중산로 70 110동 1206호</t>
  </si>
  <si>
    <t>2009.01.02</t>
  </si>
  <si>
    <t>김한월</t>
  </si>
  <si>
    <t>jhyluh@gmail.com, jhy1112kr@hanmail.net</t>
  </si>
  <si>
    <t>010-5226-7542</t>
  </si>
  <si>
    <t>010-2811-8844</t>
  </si>
  <si>
    <t>Test date: 2024.05.01</t>
  </si>
  <si>
    <t>김태연</t>
  </si>
  <si>
    <t>TAE YOON KIM</t>
  </si>
  <si>
    <t>2024F1364</t>
  </si>
  <si>
    <t>10417</t>
  </si>
  <si>
    <t>경기도 일산서구 경의로 333, 백마마을 5단지 509동 1006호</t>
  </si>
  <si>
    <t>2008.06.16</t>
  </si>
  <si>
    <t>김규하</t>
  </si>
  <si>
    <t>박정아</t>
  </si>
  <si>
    <t>dirthr2603@naver.com, gopark1210@gmail.com</t>
  </si>
  <si>
    <t>010-9065-0159</t>
  </si>
  <si>
    <t>010-7244-0159</t>
  </si>
  <si>
    <t>010-7248-0159</t>
  </si>
  <si>
    <t>Test date: 2024.08.09</t>
  </si>
  <si>
    <t>2024.08.14</t>
  </si>
  <si>
    <r>
      <rPr>
        <u/>
        <sz val="9"/>
        <color rgb="FF1155CC"/>
        <rFont val="Arial"/>
        <family val="2"/>
      </rPr>
      <t>callme.mr</t>
    </r>
    <r>
      <rPr>
        <sz val="9"/>
        <color theme="1"/>
        <rFont val="Arial"/>
        <family val="2"/>
      </rPr>
      <t>.mo@gmail.com, misunjennyan@gmail.com</t>
    </r>
  </si>
  <si>
    <t>RIAH.H,YANG</t>
  </si>
  <si>
    <r>
      <rPr>
        <u/>
        <sz val="9"/>
        <color rgb="FF1155CC"/>
        <rFont val="Arial"/>
        <family val="2"/>
      </rPr>
      <t>callme.mr</t>
    </r>
    <r>
      <rPr>
        <sz val="9"/>
        <color theme="1"/>
        <rFont val="Arial"/>
        <family val="2"/>
      </rPr>
      <t>.mo@gmail.com, misunjennyan@gmail.com</t>
    </r>
  </si>
  <si>
    <t>2024.08.16</t>
  </si>
  <si>
    <t>경기도 양주시 회천중앙로 200, 2105-2401</t>
  </si>
  <si>
    <t>hyuny7703@gmail.com</t>
  </si>
  <si>
    <t>TAE WON TAK</t>
  </si>
  <si>
    <t>mstak87@daidohc.com, hoonjinkim71@naver.com</t>
  </si>
  <si>
    <t>2024.08.20</t>
  </si>
  <si>
    <t>dmodule@naver.com</t>
  </si>
  <si>
    <t>2024.10.25</t>
  </si>
  <si>
    <t>김푸름</t>
  </si>
  <si>
    <t>PURUM KIM</t>
  </si>
  <si>
    <t>Purum</t>
  </si>
  <si>
    <t>2024F1375</t>
  </si>
  <si>
    <t>26337</t>
  </si>
  <si>
    <t>강원도 원주시 우산동 신일유토빌 115동 1104호</t>
  </si>
  <si>
    <t>2008.03.04</t>
  </si>
  <si>
    <t>김영화</t>
  </si>
  <si>
    <t>손희진</t>
  </si>
  <si>
    <t>hakimkoarab@gmail.com, maranathafrontiers82@gmail.com</t>
  </si>
  <si>
    <t>010-9701-9953</t>
  </si>
  <si>
    <t>010-6899-9953</t>
  </si>
  <si>
    <t>010-9677-9953</t>
  </si>
  <si>
    <t>Test date: 2024.10.11</t>
  </si>
  <si>
    <t>김소리</t>
  </si>
  <si>
    <t>SORI KIM</t>
  </si>
  <si>
    <t>Sori</t>
  </si>
  <si>
    <t>2024F1374</t>
  </si>
  <si>
    <t>2012.08.20</t>
  </si>
  <si>
    <t>010-6526-9953</t>
  </si>
  <si>
    <t>김 겸</t>
  </si>
  <si>
    <t>KYUM KIM</t>
  </si>
  <si>
    <t>Kyum</t>
  </si>
  <si>
    <t>2024F1373</t>
  </si>
  <si>
    <t>2014.12.12</t>
  </si>
  <si>
    <t>2024.11.19</t>
  </si>
  <si>
    <t>2024.12.05</t>
  </si>
  <si>
    <t>김다현</t>
  </si>
  <si>
    <t>DAHYUN KIM</t>
  </si>
  <si>
    <t>Sophie</t>
  </si>
  <si>
    <t>2025S1376</t>
  </si>
  <si>
    <t>10834</t>
  </si>
  <si>
    <t>경기도 파주시 파주읍 술이홀로 569 에코빌 103동 202호</t>
  </si>
  <si>
    <t>2009.02.21</t>
  </si>
  <si>
    <t>김백섭</t>
  </si>
  <si>
    <t>김경희</t>
  </si>
  <si>
    <t>baeksup_kim@gbt.or.kr, sil9265@gmail.com</t>
  </si>
  <si>
    <t>010-4375-0417</t>
  </si>
  <si>
    <t>010-2965-0417</t>
  </si>
  <si>
    <t>010-2716-0417</t>
  </si>
  <si>
    <t>2025.02.03</t>
  </si>
  <si>
    <t>Test date: 2024.11.15</t>
  </si>
  <si>
    <t>2024.12.03</t>
  </si>
  <si>
    <t>서울시 마포구 상암산로 1길 24, 308동 302호</t>
  </si>
  <si>
    <t>2024.12.13</t>
  </si>
  <si>
    <t>경기도 고양시 일산서구 강선로 169, 1503동 201호</t>
  </si>
  <si>
    <t>unslaekfarl@naver.com</t>
  </si>
  <si>
    <t>2024.12.19</t>
  </si>
  <si>
    <t>2025.01.02</t>
  </si>
  <si>
    <t>2024.12.24</t>
  </si>
  <si>
    <t>인천광역시 서구 이음1로 154 703동 701호</t>
  </si>
  <si>
    <t>dwjung128@daun.net, babynoa82@gmail.com</t>
  </si>
  <si>
    <t>2025.01.15</t>
  </si>
  <si>
    <t>MIN JUN KIM</t>
  </si>
  <si>
    <t>eric2060@naver.com</t>
  </si>
  <si>
    <t>2025.01.21</t>
  </si>
  <si>
    <t>허시온</t>
  </si>
  <si>
    <t>SIEON HEO</t>
  </si>
  <si>
    <t>Sean</t>
  </si>
  <si>
    <t>Test date: 2024.12.26</t>
  </si>
  <si>
    <t>경기도 고양시 일산서구 탄현동 1640 제니스 101동 1008호</t>
  </si>
  <si>
    <t>2025.01.23</t>
  </si>
  <si>
    <t>위시티 3로111(일산자이더헤리티지) 204동 2205</t>
  </si>
  <si>
    <t>law0858@naver.com</t>
  </si>
  <si>
    <t>Test date: 2025.2.6</t>
  </si>
  <si>
    <t>2025.03.06</t>
  </si>
  <si>
    <t>KYUNG HO KANG</t>
  </si>
  <si>
    <t>2025.03.07</t>
  </si>
  <si>
    <t>양유진</t>
  </si>
  <si>
    <t>YUJIN YANG</t>
  </si>
  <si>
    <t>2025S1395</t>
  </si>
  <si>
    <t>경기도 고양시 일산서구 탄현로 133 일산임광진흥아파트 116동 602호</t>
  </si>
  <si>
    <t>2010.2.24</t>
  </si>
  <si>
    <t>양요셉</t>
  </si>
  <si>
    <t>김선경</t>
  </si>
  <si>
    <t>elvjoseph@naver.com, kara1685@naver.com</t>
  </si>
  <si>
    <t>010-2225-1685</t>
  </si>
  <si>
    <t>010-9211-2422</t>
  </si>
  <si>
    <t>010-2398-2427</t>
  </si>
  <si>
    <t>Test date: 2025.3.5</t>
  </si>
  <si>
    <t>김다온</t>
  </si>
  <si>
    <t>DAON KIM</t>
  </si>
  <si>
    <t>Daon</t>
  </si>
  <si>
    <t>2025S1396</t>
  </si>
  <si>
    <t>14508</t>
  </si>
  <si>
    <t>경기도 부천시 계남로 19번지 2310-1001</t>
  </si>
  <si>
    <t>2011.3.14</t>
  </si>
  <si>
    <t>김성진</t>
  </si>
  <si>
    <t>채혜경</t>
  </si>
  <si>
    <t>ks1632@hanmail.net, enby00@naver.com</t>
  </si>
  <si>
    <t>010-3923-5088</t>
  </si>
  <si>
    <t>010-5353-4318</t>
  </si>
  <si>
    <t>010-6253-4318</t>
  </si>
  <si>
    <t>Test date: 2025.3.6</t>
  </si>
  <si>
    <t>2025.04.14</t>
  </si>
  <si>
    <t>천인지</t>
  </si>
  <si>
    <t>INJI CHUN</t>
  </si>
  <si>
    <t>Inji</t>
  </si>
  <si>
    <t>2025S1397</t>
  </si>
  <si>
    <t>2010.1.26</t>
  </si>
  <si>
    <t>2025.4.14</t>
  </si>
  <si>
    <t>Test date : 2025.04.10</t>
  </si>
  <si>
    <t>2025.6.12</t>
  </si>
  <si>
    <t>2025.6.13</t>
  </si>
  <si>
    <t>2025.7.3</t>
  </si>
  <si>
    <t>2025.7.11</t>
  </si>
  <si>
    <t>2025.7.22</t>
  </si>
  <si>
    <t>서울 강서구 마곡서 1로 81, 마곡엠밸리 8단지 803-1403</t>
  </si>
  <si>
    <t>2025.7.23</t>
  </si>
  <si>
    <t>2025.7.28</t>
  </si>
  <si>
    <t>경기도 고양시 덕양구 향기로 185, 1005-204</t>
  </si>
  <si>
    <t>2025.7.29</t>
  </si>
  <si>
    <t>2025.07.28</t>
  </si>
  <si>
    <t>2025.07.30</t>
  </si>
  <si>
    <t>정예지</t>
  </si>
  <si>
    <t>YEJI JUNG</t>
  </si>
  <si>
    <t>Yeji</t>
  </si>
  <si>
    <t>2025F1411</t>
  </si>
  <si>
    <t>경기도 파주시 청석로 300, 902동 1302호</t>
  </si>
  <si>
    <t>2008.07.09</t>
  </si>
  <si>
    <t>정순섭</t>
  </si>
  <si>
    <t>김영옥</t>
  </si>
  <si>
    <t>soonsop@hanmail.net, tomotott0231@naver.com</t>
  </si>
  <si>
    <t>010-8757-0231</t>
  </si>
  <si>
    <t>010-3220-3717</t>
  </si>
  <si>
    <t>010-5721-0231</t>
  </si>
  <si>
    <t>Test date: 2025.7.29</t>
  </si>
  <si>
    <t>2025.07.31</t>
  </si>
  <si>
    <t>gaogaizer@naver.com</t>
  </si>
  <si>
    <t>2025.8.5</t>
  </si>
  <si>
    <t>2025.8.6</t>
  </si>
  <si>
    <t>정인희</t>
  </si>
  <si>
    <t>2025.8.7</t>
  </si>
  <si>
    <t>AH YOON PYUNG</t>
  </si>
  <si>
    <t>2025.8.8</t>
  </si>
  <si>
    <t>JI YOUNG JEONG</t>
  </si>
  <si>
    <t>2025.8.12</t>
  </si>
  <si>
    <t>2025.8.15</t>
  </si>
  <si>
    <t>2025.8.29</t>
  </si>
  <si>
    <t>인천서구 원다아대로 839번길 34, 708동 306호</t>
  </si>
  <si>
    <t>2025.9.19</t>
  </si>
  <si>
    <t>Test date : 2025.9.15</t>
  </si>
  <si>
    <t>2025.10.20</t>
  </si>
  <si>
    <t>이선균</t>
  </si>
  <si>
    <t>SUNGYUN LEE</t>
  </si>
  <si>
    <t>Nathan (Nate)</t>
  </si>
  <si>
    <t>2025F1423</t>
  </si>
  <si>
    <t>경기도 파주시 와동동 1321 가람마을 4단지 404동 902호</t>
  </si>
  <si>
    <t>2007.8.5</t>
  </si>
  <si>
    <t>변미경</t>
  </si>
  <si>
    <t>sunkyun1234567@gmail.com, sunkyun070805@naver.com</t>
  </si>
  <si>
    <t>010-2974-0155</t>
  </si>
  <si>
    <t>010-8511-0155</t>
  </si>
  <si>
    <t>2025.10.21</t>
  </si>
  <si>
    <t>Test date : 2025.10.20</t>
  </si>
  <si>
    <t>2025.11.11</t>
  </si>
  <si>
    <t>2025.11.14</t>
  </si>
  <si>
    <t>2026S1425</t>
  </si>
  <si>
    <t>010-55148-4716</t>
  </si>
  <si>
    <t>davidchininhoshin@gmail.com, forallekinder@gmail.com</t>
  </si>
  <si>
    <t>010-7339-2656</t>
  </si>
  <si>
    <t>2026.02.25</t>
  </si>
  <si>
    <t>Junsoo</t>
  </si>
  <si>
    <t>2026.3.3</t>
  </si>
  <si>
    <t>MOON JEONGHYUCK</t>
  </si>
  <si>
    <t>James</t>
  </si>
  <si>
    <t>2026S1452</t>
  </si>
  <si>
    <t>10404</t>
  </si>
  <si>
    <t>경기도 고양시 일산동구 햇살로 41번길 8-11</t>
  </si>
  <si>
    <t>2011.06.22</t>
  </si>
  <si>
    <t>문대희</t>
  </si>
  <si>
    <t>김인환</t>
  </si>
  <si>
    <t>dhgroom@naver.com, ihnamoo@naver.com</t>
  </si>
  <si>
    <t>010-9758-0622</t>
  </si>
  <si>
    <t>010-9972-0058</t>
  </si>
  <si>
    <t>010-2240-0755</t>
  </si>
  <si>
    <t>Test date: 2026.03.27</t>
  </si>
  <si>
    <t>MOON JEONGIN</t>
  </si>
  <si>
    <t>Jenna</t>
  </si>
  <si>
    <t>2026S1453</t>
  </si>
  <si>
    <t>010-2343-0755</t>
  </si>
  <si>
    <t>HARAM SIM</t>
  </si>
  <si>
    <t>Haram</t>
  </si>
  <si>
    <t>2026S1454</t>
  </si>
  <si>
    <t>10228</t>
  </si>
  <si>
    <t>경기도 고양시 일산서구 장자길 118번길 27, 304동 1103호</t>
  </si>
  <si>
    <t>2010.03.04</t>
  </si>
  <si>
    <t>심상원</t>
  </si>
  <si>
    <t>장혜영</t>
  </si>
  <si>
    <t>sseonool@naver.com, youngi79@naver.com</t>
  </si>
  <si>
    <t>010-9593-2460</t>
  </si>
  <si>
    <t>010-7263-2460</t>
  </si>
  <si>
    <t>010-9382-9522</t>
  </si>
  <si>
    <t>Test date: 2026.03.30</t>
  </si>
  <si>
    <t>조하랑</t>
  </si>
  <si>
    <t>최승빈</t>
  </si>
  <si>
    <t>임가은</t>
  </si>
  <si>
    <t>김수현</t>
  </si>
  <si>
    <t>김희원</t>
  </si>
  <si>
    <t>2007.08.07</t>
  </si>
  <si>
    <t>구건우</t>
  </si>
  <si>
    <t>GUNWOO GU</t>
  </si>
  <si>
    <t>Peter</t>
  </si>
  <si>
    <t>2006.12.25</t>
  </si>
  <si>
    <t>Jake</t>
  </si>
  <si>
    <t>2005.08.10</t>
  </si>
  <si>
    <t>이하연</t>
  </si>
  <si>
    <t>HA YEON LEE</t>
  </si>
  <si>
    <t>Layna</t>
  </si>
  <si>
    <t>2005.06.16</t>
  </si>
  <si>
    <t>박제인</t>
  </si>
  <si>
    <t>JE-IN PARK</t>
  </si>
  <si>
    <t>Jane</t>
  </si>
  <si>
    <t>2004.03.03</t>
  </si>
  <si>
    <t>미국</t>
  </si>
  <si>
    <t>2019년 봄학기 정시입학</t>
  </si>
  <si>
    <t>Lucas</t>
  </si>
  <si>
    <t>Sam</t>
  </si>
  <si>
    <t>Jay</t>
  </si>
  <si>
    <t>임서현</t>
  </si>
  <si>
    <t>SEOHYUN LIM</t>
  </si>
  <si>
    <t>2004.05.04</t>
  </si>
  <si>
    <t>Diana</t>
  </si>
  <si>
    <t>Jimmy</t>
  </si>
  <si>
    <t>Gabriella</t>
  </si>
  <si>
    <t>2021 Fall</t>
  </si>
  <si>
    <t>자퇴</t>
  </si>
  <si>
    <t>홍진욱</t>
  </si>
  <si>
    <t>JINUK HONG</t>
  </si>
  <si>
    <t>Josh</t>
  </si>
  <si>
    <t>2004.01.14</t>
  </si>
  <si>
    <t>정윤아</t>
  </si>
  <si>
    <t>YUN A JEONG</t>
  </si>
  <si>
    <t>Emma</t>
  </si>
  <si>
    <t>2004.11.9</t>
  </si>
  <si>
    <t>LIU YAXUAN</t>
  </si>
  <si>
    <t>2005.10.26</t>
  </si>
  <si>
    <t>납부금 일부분 입금, 부모님 한국말&amp;영어 전혀 못하시고, 언니만 영어 가능, 통역목사님(010-7721-5103)</t>
  </si>
  <si>
    <t>이예담</t>
  </si>
  <si>
    <t>YE DAM LEE</t>
  </si>
  <si>
    <t>Ye Dam</t>
  </si>
  <si>
    <t>2005.10.08</t>
  </si>
  <si>
    <t>황채민</t>
  </si>
  <si>
    <t>CHAEMIN HWANG</t>
  </si>
  <si>
    <t xml:space="preserve"> Chaemin</t>
  </si>
  <si>
    <t>2005.06.14</t>
  </si>
  <si>
    <t>이나윤</t>
  </si>
  <si>
    <t>NA YOON LEE</t>
  </si>
  <si>
    <t>Emily</t>
  </si>
  <si>
    <t>2006.11.08</t>
  </si>
  <si>
    <t>자퇴-&gt; 복귀</t>
  </si>
  <si>
    <t>박민서</t>
  </si>
  <si>
    <t>MINSEO PARK</t>
  </si>
  <si>
    <t>2006.05.13</t>
  </si>
  <si>
    <t>김주하</t>
  </si>
  <si>
    <t>JUHA KIM</t>
  </si>
  <si>
    <t>Sylvia</t>
  </si>
  <si>
    <t>2006.12.30</t>
  </si>
  <si>
    <t>휴학</t>
  </si>
  <si>
    <t>황유림</t>
  </si>
  <si>
    <t>YOU RIM HWANG</t>
  </si>
  <si>
    <t>Eunice</t>
  </si>
  <si>
    <t>2006.04.12</t>
  </si>
  <si>
    <t>2019년 봄학기 정시입학 / 어머님 ride</t>
  </si>
  <si>
    <t>조건부 입학/자퇴</t>
  </si>
  <si>
    <t>고유빈</t>
  </si>
  <si>
    <t>YUBEEN KO</t>
  </si>
  <si>
    <t>2007.05.26</t>
  </si>
  <si>
    <t>박서현</t>
  </si>
  <si>
    <t>SEO HYEON PARK</t>
  </si>
  <si>
    <t>2005.7.27</t>
  </si>
  <si>
    <t>박우솔</t>
  </si>
  <si>
    <t>WOO SOL PARK</t>
  </si>
  <si>
    <t>Woo Sol</t>
  </si>
  <si>
    <t>2006.02.28</t>
  </si>
  <si>
    <t>김보민</t>
  </si>
  <si>
    <t>BOMIN KIM</t>
  </si>
  <si>
    <t>2006.10.18</t>
  </si>
  <si>
    <t>홍서영</t>
  </si>
  <si>
    <t>SEOYOUNG HONG</t>
  </si>
  <si>
    <t>2005.12.09</t>
  </si>
  <si>
    <t>박우찬</t>
  </si>
  <si>
    <t>WOO CHAN PARK</t>
  </si>
  <si>
    <t>2004.04.28</t>
  </si>
  <si>
    <t>Dana</t>
  </si>
  <si>
    <t>2005.12.18</t>
  </si>
  <si>
    <t>김유진</t>
  </si>
  <si>
    <t>EUGENE KIM</t>
  </si>
  <si>
    <t>Eugene</t>
  </si>
  <si>
    <t>2007.09.12</t>
  </si>
  <si>
    <t>지방이사</t>
  </si>
  <si>
    <t>박온유</t>
  </si>
  <si>
    <t>ONYU PARK</t>
  </si>
  <si>
    <t>Onyu</t>
  </si>
  <si>
    <t>2012.02.11</t>
  </si>
  <si>
    <t>2007.12.10</t>
  </si>
  <si>
    <t>2022 Spring</t>
  </si>
  <si>
    <t>서울이사</t>
  </si>
  <si>
    <t xml:space="preserve">신라엘 </t>
  </si>
  <si>
    <t>LAEL SHIN</t>
  </si>
  <si>
    <t>2014.02.09</t>
  </si>
  <si>
    <t>심수현</t>
  </si>
  <si>
    <t>SOOHYUN SHIM</t>
  </si>
  <si>
    <t>2008.01.04</t>
  </si>
  <si>
    <t>공립/어머님께서 늘 왔다 갔다 하심</t>
  </si>
  <si>
    <t>유수현</t>
  </si>
  <si>
    <t>SOO HYUN YOO</t>
  </si>
  <si>
    <t>Soohyun</t>
  </si>
  <si>
    <t>2011.07.26</t>
  </si>
  <si>
    <t>공립/친구들이 예빈이를 너무 좋아해서 힘들게함</t>
  </si>
  <si>
    <t>박예빈</t>
  </si>
  <si>
    <t>YEBIN PARK</t>
  </si>
  <si>
    <t>Julia</t>
  </si>
  <si>
    <t>2010.04.17</t>
  </si>
  <si>
    <t>2018년 가을학기 입학</t>
  </si>
  <si>
    <t>공립/예빈이와 같은학교로 전학</t>
  </si>
  <si>
    <t>박시현</t>
  </si>
  <si>
    <t>SIHYUN PARK</t>
  </si>
  <si>
    <t>Samuel</t>
  </si>
  <si>
    <t>2010.09.25</t>
  </si>
  <si>
    <t>공립/예빈이와 같이 공립으로 결정</t>
  </si>
  <si>
    <t>전지나</t>
  </si>
  <si>
    <t>JINA JEON</t>
  </si>
  <si>
    <t>GA EUN LIM</t>
  </si>
  <si>
    <t>2018년 봄학기 E4 입학</t>
  </si>
  <si>
    <t>김예준</t>
  </si>
  <si>
    <t>YEJOON KIM</t>
  </si>
  <si>
    <t>Luke</t>
  </si>
  <si>
    <t>2006.11.06</t>
  </si>
  <si>
    <t>공립/아버지 이동</t>
  </si>
  <si>
    <t xml:space="preserve">김해나 </t>
  </si>
  <si>
    <t>HANNAH KIM</t>
  </si>
  <si>
    <t>2013.04.12</t>
  </si>
  <si>
    <t>류현서</t>
  </si>
  <si>
    <t>HYUN SEO RYU</t>
  </si>
  <si>
    <t>2008.10.01</t>
  </si>
  <si>
    <t>학교와 맞지않아서</t>
  </si>
  <si>
    <t>조자민</t>
  </si>
  <si>
    <t>JAMIN CHO</t>
  </si>
  <si>
    <t>Jamin</t>
  </si>
  <si>
    <t>2006.07.06</t>
  </si>
  <si>
    <t>담임교사의 부정적인의견으로
위즈덤국제학교로 이동</t>
  </si>
  <si>
    <t>SE CHAN KANG</t>
  </si>
  <si>
    <t>언니자퇴로 인해</t>
  </si>
  <si>
    <t>김지원</t>
  </si>
  <si>
    <t>JIWON KIM</t>
  </si>
  <si>
    <t>Joanna</t>
  </si>
  <si>
    <t>2010.08.25</t>
  </si>
  <si>
    <t>이태진</t>
  </si>
  <si>
    <t>TAEJIN LEE</t>
  </si>
  <si>
    <t>2007.10.25</t>
  </si>
  <si>
    <t xml:space="preserve">백승주 </t>
  </si>
  <si>
    <t>SEUNGJOO BACK</t>
  </si>
  <si>
    <t>2007.04.25</t>
  </si>
  <si>
    <t>2022 Fall</t>
  </si>
  <si>
    <t>2021Fall 휴학 -&gt; 2022Fall 전학</t>
  </si>
  <si>
    <t>전학</t>
  </si>
  <si>
    <t>구현우</t>
  </si>
  <si>
    <t>HYUNWOO GU</t>
  </si>
  <si>
    <t>2008.03.03</t>
  </si>
  <si>
    <t>구준우</t>
  </si>
  <si>
    <t>JUN WOO GU</t>
  </si>
  <si>
    <t>2011.05.02</t>
  </si>
  <si>
    <t>김가은</t>
  </si>
  <si>
    <t>GAEUN Kim</t>
  </si>
  <si>
    <t>Gaeun</t>
  </si>
  <si>
    <t>2008.11.28</t>
  </si>
  <si>
    <t>이준</t>
  </si>
  <si>
    <t>JUN LEE</t>
  </si>
  <si>
    <t>Jun</t>
  </si>
  <si>
    <t>2009.02.16</t>
  </si>
  <si>
    <t>이유나</t>
  </si>
  <si>
    <t>YUNA LEE</t>
  </si>
  <si>
    <t>Yuna</t>
  </si>
  <si>
    <t>2004.09.28</t>
  </si>
  <si>
    <t>AH HYUN YOO</t>
  </si>
  <si>
    <t>안은빈</t>
  </si>
  <si>
    <t>EUNBEEN AN</t>
  </si>
  <si>
    <t>2007.12.18</t>
  </si>
  <si>
    <t>박유빈</t>
  </si>
  <si>
    <t>YUBIN PARK</t>
  </si>
  <si>
    <t>2006.08.23</t>
  </si>
  <si>
    <t>2019년 가을학기 입학</t>
  </si>
  <si>
    <t>정인호</t>
  </si>
  <si>
    <t>INHO JEONG</t>
  </si>
  <si>
    <t>Ino</t>
  </si>
  <si>
    <t>2006.12.21</t>
  </si>
  <si>
    <t>미국 국무부 교환학생으로 Sheridan High School에서 두학기를 보낼 예정</t>
  </si>
  <si>
    <t>2022 FALL</t>
  </si>
  <si>
    <t>홍성범</t>
  </si>
  <si>
    <t>SUNGBEOM HONG</t>
  </si>
  <si>
    <t>Kito</t>
  </si>
  <si>
    <t>2008.11.04</t>
  </si>
  <si>
    <t>2023 Spring</t>
  </si>
  <si>
    <t>이사</t>
  </si>
  <si>
    <t>유학(캐나다)</t>
  </si>
  <si>
    <t>홍유진</t>
  </si>
  <si>
    <t>YU JIN HONG</t>
  </si>
  <si>
    <t>Yu Jin</t>
  </si>
  <si>
    <t>2012.08.16</t>
  </si>
  <si>
    <t>가정형편</t>
  </si>
  <si>
    <t>공립학교로 전학</t>
  </si>
  <si>
    <t>김려은</t>
  </si>
  <si>
    <t>RYEO EUN KIM</t>
  </si>
  <si>
    <t>Clara</t>
  </si>
  <si>
    <t>2011.05.25</t>
  </si>
  <si>
    <t>유학(말레이지아)</t>
  </si>
  <si>
    <t>검정고시 준비</t>
  </si>
  <si>
    <t>신입자퇴</t>
  </si>
  <si>
    <t>JANG SEOYEON</t>
  </si>
  <si>
    <t xml:space="preserve">Yeon </t>
  </si>
  <si>
    <t>2007.06.20</t>
  </si>
  <si>
    <t>KIM SUHYUN</t>
  </si>
  <si>
    <t>Roy</t>
  </si>
  <si>
    <t>2015.07.11</t>
  </si>
  <si>
    <t>조현일</t>
  </si>
  <si>
    <t>CHO HYUNIL</t>
  </si>
  <si>
    <t>2010.05.29</t>
  </si>
  <si>
    <t>2023 Fall</t>
  </si>
  <si>
    <t>태국 국제학교 1년 수학예정</t>
  </si>
  <si>
    <t>Hael</t>
  </si>
  <si>
    <t>CMIS</t>
  </si>
  <si>
    <t>교환학생</t>
  </si>
  <si>
    <t>건강상의 이유</t>
  </si>
  <si>
    <t>유학</t>
  </si>
  <si>
    <t>하주훈</t>
  </si>
  <si>
    <t>JUHUN HA</t>
  </si>
  <si>
    <t>2006.09.05</t>
  </si>
  <si>
    <t>수능준비</t>
  </si>
  <si>
    <t>조기유학결정및 진학준비</t>
  </si>
  <si>
    <t>집이 멀어 학생의 건강의 위해 잠깐 휴학</t>
  </si>
  <si>
    <t>심래아</t>
  </si>
  <si>
    <t>REAH SHIM</t>
  </si>
  <si>
    <t>Reah</t>
  </si>
  <si>
    <t>2013.09.12</t>
  </si>
  <si>
    <t>김도윤</t>
  </si>
  <si>
    <t>DOYUN KIM</t>
  </si>
  <si>
    <t>2010.01.11</t>
  </si>
  <si>
    <t>이주혁</t>
  </si>
  <si>
    <t>JU HYEOK LEE</t>
  </si>
  <si>
    <t>Kevin</t>
  </si>
  <si>
    <t>2006.01.16</t>
  </si>
  <si>
    <t>문희성</t>
  </si>
  <si>
    <t>HEE SUNG MOON</t>
  </si>
  <si>
    <t>2010.08.31</t>
  </si>
  <si>
    <t>박지훈</t>
  </si>
  <si>
    <t>JI HOON PARK</t>
  </si>
  <si>
    <t>Ji Hoon</t>
  </si>
  <si>
    <t>2013.01.09</t>
  </si>
  <si>
    <t>김봄</t>
  </si>
  <si>
    <t>BOM KIM</t>
  </si>
  <si>
    <t>Bom</t>
  </si>
  <si>
    <t>2006.05.26</t>
  </si>
  <si>
    <t>권고전학</t>
  </si>
  <si>
    <t xml:space="preserve"> Chris</t>
  </si>
  <si>
    <t>글로벌선진학교</t>
  </si>
  <si>
    <t>제주 KIS</t>
  </si>
  <si>
    <t>정윤선</t>
  </si>
  <si>
    <t>YOON SUN JUNG</t>
  </si>
  <si>
    <t>2008.09.12</t>
  </si>
  <si>
    <t>2024 Spring</t>
  </si>
  <si>
    <t>한가은</t>
  </si>
  <si>
    <t>GAEUN HAN</t>
  </si>
  <si>
    <t>2008.02.05</t>
  </si>
  <si>
    <t>캐나다 단기연수</t>
  </si>
  <si>
    <t>일반학교- 수업이 힘듬</t>
  </si>
  <si>
    <t>이태양</t>
  </si>
  <si>
    <t>TAEYANG LEE</t>
  </si>
  <si>
    <t>Taeyang</t>
  </si>
  <si>
    <t>2007.03.07</t>
  </si>
  <si>
    <t>진로변경</t>
  </si>
  <si>
    <t>홍지민</t>
  </si>
  <si>
    <t>JIMIN HONG</t>
  </si>
  <si>
    <t>2007.12.24</t>
  </si>
  <si>
    <t>일반학교 경험 후 중학교 복학예정</t>
  </si>
  <si>
    <t>고유나</t>
  </si>
  <si>
    <t>YUNA KO</t>
  </si>
  <si>
    <t>2012.12.26</t>
  </si>
  <si>
    <t>예고진학준비</t>
  </si>
  <si>
    <t>Lauren</t>
  </si>
  <si>
    <t>입학 2틀만에 학업포기</t>
  </si>
  <si>
    <t>수의학 공부로 수능준비</t>
  </si>
  <si>
    <t>김하윤</t>
  </si>
  <si>
    <t>HAYOON KIM</t>
  </si>
  <si>
    <t>2011.07.22</t>
  </si>
  <si>
    <t>김영준</t>
  </si>
  <si>
    <t>YOUNGJOON KIM</t>
  </si>
  <si>
    <t>2024.02.06</t>
  </si>
  <si>
    <t>정준수</t>
  </si>
  <si>
    <t>JUNSU CHUNG</t>
  </si>
  <si>
    <t>2008.06.15</t>
  </si>
  <si>
    <t>버클리진학을 위한 예비학교수업으로 휴학</t>
  </si>
  <si>
    <t>오인택</t>
  </si>
  <si>
    <t>INTAEK OH</t>
  </si>
  <si>
    <t>Jason</t>
  </si>
  <si>
    <t>2006.12.28</t>
  </si>
  <si>
    <t>2019.08.20</t>
  </si>
  <si>
    <t>일반학교 진학으로 휴학</t>
  </si>
  <si>
    <t>김근영</t>
  </si>
  <si>
    <t>GEUN YOUNG KIM</t>
  </si>
  <si>
    <t>Geun Young</t>
  </si>
  <si>
    <t>2011.07.06</t>
  </si>
  <si>
    <t>이성하</t>
  </si>
  <si>
    <t>SUNG HA LEE</t>
  </si>
  <si>
    <t>Joey</t>
  </si>
  <si>
    <t>2012.12.12</t>
  </si>
  <si>
    <t>일반학교 진학으로 자퇴</t>
  </si>
  <si>
    <t xml:space="preserve">HYUN JUN CHOI </t>
  </si>
  <si>
    <t xml:space="preserve">YUN SEO CHOI </t>
  </si>
  <si>
    <t>Reina</t>
  </si>
  <si>
    <t>2011.11.23</t>
  </si>
  <si>
    <t>2024 Fall</t>
  </si>
  <si>
    <t>나아리</t>
  </si>
  <si>
    <t>AH RI NAH</t>
  </si>
  <si>
    <t>Arie</t>
  </si>
  <si>
    <t>2010.07.08</t>
  </si>
  <si>
    <t>제주국제학교로 전학</t>
  </si>
  <si>
    <t>김세아</t>
  </si>
  <si>
    <t>SEAH KIM</t>
  </si>
  <si>
    <t>Wendy</t>
  </si>
  <si>
    <t>2008.11.27</t>
  </si>
  <si>
    <t>가정형편으로 휴학</t>
  </si>
  <si>
    <t>등교거부</t>
  </si>
  <si>
    <t>전학(쥬니퍼)</t>
  </si>
  <si>
    <t>2025 Spring</t>
  </si>
  <si>
    <t xml:space="preserve"> 구연우</t>
  </si>
  <si>
    <t>해외이사</t>
  </si>
  <si>
    <t>최창빈</t>
  </si>
  <si>
    <t>CHANGBEEN CHOI</t>
  </si>
  <si>
    <t>Greg</t>
  </si>
  <si>
    <t>2009.11.03</t>
  </si>
  <si>
    <t>대학진학</t>
  </si>
  <si>
    <t>조기졸업</t>
  </si>
  <si>
    <t>MISO KIM</t>
  </si>
  <si>
    <t>진로에대한 고민으로 휴학</t>
  </si>
  <si>
    <t>YEJI CHOI</t>
  </si>
  <si>
    <t>친구와의 문제</t>
  </si>
  <si>
    <t>2025 Fall</t>
  </si>
  <si>
    <t>사역지 복귀</t>
  </si>
  <si>
    <t>공교육 진학</t>
  </si>
  <si>
    <t>성호경</t>
  </si>
  <si>
    <t>HOKYUNG SUNG</t>
  </si>
  <si>
    <t>Ruben</t>
  </si>
  <si>
    <t>2007.09.20</t>
  </si>
  <si>
    <t>대학교휴학</t>
  </si>
  <si>
    <t>Dongkyu</t>
  </si>
  <si>
    <t>진로를 위해 공부하려고 휴학</t>
  </si>
  <si>
    <t>Won Geun</t>
  </si>
  <si>
    <t>영국으로 전학</t>
  </si>
  <si>
    <t>이하율B</t>
  </si>
  <si>
    <t>HAYOOL LEE</t>
  </si>
  <si>
    <t>2010.03.27</t>
  </si>
  <si>
    <t>이사로 전학</t>
  </si>
  <si>
    <t>김지현</t>
  </si>
  <si>
    <t>ZHI XIAN JIN</t>
  </si>
  <si>
    <t>2010.05.14</t>
  </si>
  <si>
    <t>개인적인 사정으로 자퇴</t>
  </si>
  <si>
    <t>김다은</t>
  </si>
  <si>
    <t xml:space="preserve">DAEUN KIM </t>
  </si>
  <si>
    <t>2008.03.31</t>
  </si>
  <si>
    <t>개인적인 사정으로 휴학</t>
  </si>
  <si>
    <t>가정형편으로 자퇴</t>
  </si>
  <si>
    <t>베트남 유학</t>
  </si>
  <si>
    <t>김하민</t>
  </si>
  <si>
    <t>HAMIN KIM</t>
  </si>
  <si>
    <t>2008.05.20</t>
  </si>
  <si>
    <t>TAE YEON KIM</t>
  </si>
  <si>
    <t>TaeYeon</t>
  </si>
  <si>
    <t>2026 Spring</t>
  </si>
  <si>
    <t>말레이시아 유학</t>
  </si>
  <si>
    <t>연기전공을 위해 검정고시 준비</t>
  </si>
  <si>
    <t>EUNOH KIM</t>
  </si>
  <si>
    <t>공교육(가정형편)</t>
  </si>
  <si>
    <t>HARANG CHO</t>
  </si>
  <si>
    <t>Henry</t>
  </si>
  <si>
    <t>미국유학</t>
  </si>
  <si>
    <t>야구진학으로 GVCS</t>
  </si>
  <si>
    <t>SEUNGBIN CHOI</t>
  </si>
  <si>
    <t>2013.12.19</t>
  </si>
  <si>
    <t>공교육으로 진학</t>
  </si>
  <si>
    <t>SOOHYUN KIM</t>
  </si>
  <si>
    <t>2014.06.06</t>
  </si>
  <si>
    <t xml:space="preserve">Bella </t>
  </si>
  <si>
    <t>국내대학진학을 위한 자퇴</t>
  </si>
  <si>
    <t>Mingyeol</t>
  </si>
  <si>
    <t>DAIN HAN</t>
  </si>
  <si>
    <t>Ellen</t>
  </si>
  <si>
    <t>부상으로 인해 학업을 이어갈 수 없어 자퇴</t>
  </si>
  <si>
    <t>프랑스로 이민</t>
  </si>
  <si>
    <t>HEEWON KIM</t>
  </si>
  <si>
    <t xml:space="preserve">Joy </t>
  </si>
  <si>
    <t>2011.09.26</t>
  </si>
  <si>
    <t>2018.08.26</t>
    <phoneticPr fontId="35" type="noConversion"/>
  </si>
  <si>
    <t>2022.07.21</t>
    <phoneticPr fontId="35" type="noConversion"/>
  </si>
  <si>
    <t>2020.05.28</t>
    <phoneticPr fontId="35" type="noConversion"/>
  </si>
  <si>
    <t>2021.07.20</t>
  </si>
  <si>
    <t>2021.07.20</t>
    <phoneticPr fontId="35" type="noConversion"/>
  </si>
  <si>
    <t>2022.01.12</t>
  </si>
  <si>
    <t>2022.01.12</t>
    <phoneticPr fontId="35" type="noConversion"/>
  </si>
  <si>
    <t>2022.01.25</t>
    <phoneticPr fontId="35" type="noConversion"/>
  </si>
  <si>
    <t>2020.07.17</t>
    <phoneticPr fontId="35" type="noConversion"/>
  </si>
  <si>
    <t xml:space="preserve"> 2022.03.18</t>
    <phoneticPr fontId="35" type="noConversion"/>
  </si>
  <si>
    <t>2023.01.18</t>
    <phoneticPr fontId="35" type="noConversion"/>
  </si>
  <si>
    <t>2023.01.17</t>
    <phoneticPr fontId="35" type="noConversion"/>
  </si>
  <si>
    <t>2022.01.13</t>
    <phoneticPr fontId="35" type="noConversion"/>
  </si>
  <si>
    <t>2021.12.16</t>
    <phoneticPr fontId="35" type="noConversion"/>
  </si>
  <si>
    <t>2023.01.16</t>
    <phoneticPr fontId="35" type="noConversion"/>
  </si>
  <si>
    <t>2022.01.19</t>
    <phoneticPr fontId="35" type="noConversion"/>
  </si>
  <si>
    <t xml:space="preserve"> 2022.06.13</t>
    <phoneticPr fontId="35" type="noConversion"/>
  </si>
  <si>
    <t>2022.06.13</t>
    <phoneticPr fontId="35" type="noConversion"/>
  </si>
  <si>
    <t>2022.05.30</t>
    <phoneticPr fontId="35" type="noConversion"/>
  </si>
  <si>
    <t>2020.08.19</t>
    <phoneticPr fontId="35" type="noConversion"/>
  </si>
  <si>
    <t>2019.06.26</t>
  </si>
  <si>
    <t>2019.06.26</t>
    <phoneticPr fontId="35" type="noConversion"/>
  </si>
  <si>
    <t>2021.11.05</t>
    <phoneticPr fontId="35" type="noConversion"/>
  </si>
  <si>
    <t>2022.04.15</t>
    <phoneticPr fontId="35" type="noConversion"/>
  </si>
  <si>
    <t>2022.08.12</t>
    <phoneticPr fontId="35" type="noConversion"/>
  </si>
  <si>
    <t>2020.03.04</t>
    <phoneticPr fontId="35" type="noConversion"/>
  </si>
  <si>
    <t>2022.08.16</t>
    <phoneticPr fontId="35" type="noConversion"/>
  </si>
  <si>
    <t>2022.08.24</t>
    <phoneticPr fontId="35" type="noConversion"/>
  </si>
  <si>
    <t>2020.01.29</t>
    <phoneticPr fontId="35" type="noConversion"/>
  </si>
  <si>
    <r>
      <t>2019</t>
    </r>
    <r>
      <rPr>
        <sz val="9"/>
        <color theme="1"/>
        <rFont val="맑은 고딕"/>
        <family val="3"/>
        <charset val="129"/>
      </rPr>
      <t>.01.29</t>
    </r>
    <phoneticPr fontId="35" type="noConversion"/>
  </si>
  <si>
    <t>2018.01.26</t>
    <phoneticPr fontId="35" type="noConversion"/>
  </si>
  <si>
    <t>2019.01.26</t>
    <phoneticPr fontId="35" type="noConversion"/>
  </si>
  <si>
    <t>2022.05.27</t>
    <phoneticPr fontId="35" type="noConversion"/>
  </si>
  <si>
    <t>2022.06.24</t>
    <phoneticPr fontId="35" type="noConversion"/>
  </si>
  <si>
    <t>2020.07.22</t>
    <phoneticPr fontId="35" type="noConversion"/>
  </si>
  <si>
    <t>2023.02.09</t>
    <phoneticPr fontId="35" type="noConversion"/>
  </si>
  <si>
    <t>2023.09.15</t>
    <phoneticPr fontId="35" type="noConversion"/>
  </si>
  <si>
    <t>2020.08.26</t>
  </si>
  <si>
    <t>2020.08.26</t>
    <phoneticPr fontId="35" type="noConversion"/>
  </si>
  <si>
    <t xml:space="preserve">2023.10.11                                  </t>
    <phoneticPr fontId="35" type="noConversion"/>
  </si>
  <si>
    <t>2025.10.20</t>
    <phoneticPr fontId="35" type="noConversion"/>
  </si>
  <si>
    <t>2022.12.05</t>
    <phoneticPr fontId="35" type="noConversion"/>
  </si>
  <si>
    <t>2024.05.17</t>
    <phoneticPr fontId="35" type="noConversion"/>
  </si>
  <si>
    <t>2021.11.03</t>
  </si>
  <si>
    <t>2021.11.03</t>
    <phoneticPr fontId="35" type="noConversion"/>
  </si>
  <si>
    <t>2024.04.10</t>
    <phoneticPr fontId="35" type="noConversion"/>
  </si>
  <si>
    <t>2024.07.15</t>
    <phoneticPr fontId="35" type="noConversion"/>
  </si>
  <si>
    <t>2020.12.07</t>
    <phoneticPr fontId="35" type="noConversion"/>
  </si>
  <si>
    <t>2025.7.29</t>
    <phoneticPr fontId="35" type="noConversion"/>
  </si>
  <si>
    <t>2023.05.01</t>
    <phoneticPr fontId="35" type="noConversion"/>
  </si>
  <si>
    <t>2025.3.6</t>
    <phoneticPr fontId="35" type="noConversion"/>
  </si>
  <si>
    <t>2025.3.5</t>
    <phoneticPr fontId="35" type="noConversion"/>
  </si>
  <si>
    <t>2023.12.06</t>
    <phoneticPr fontId="35" type="noConversion"/>
  </si>
  <si>
    <t>2022.06.28</t>
    <phoneticPr fontId="35" type="noConversion"/>
  </si>
  <si>
    <t>2022.05.26</t>
    <phoneticPr fontId="35" type="noConversion"/>
  </si>
  <si>
    <t>2024.07.18</t>
    <phoneticPr fontId="35" type="noConversion"/>
  </si>
  <si>
    <t>2020.01.26</t>
  </si>
  <si>
    <t>2020.01.26</t>
    <phoneticPr fontId="35" type="noConversion"/>
  </si>
  <si>
    <t>2024.08.09</t>
    <phoneticPr fontId="35" type="noConversion"/>
  </si>
  <si>
    <t>2019.05.21</t>
  </si>
  <si>
    <t>2020.06.19 / 2020년 가을학기 입학 (2020 summer school 참여함)</t>
  </si>
  <si>
    <t>2019.10.21</t>
  </si>
  <si>
    <t>2019.12.06</t>
  </si>
  <si>
    <t>2019.10.23</t>
  </si>
  <si>
    <t>2019.12.19</t>
  </si>
  <si>
    <t>2020.08.21</t>
  </si>
  <si>
    <t>2020.06.04 / 2020년 가을학기 입학 (2020 summer school 참여함)</t>
  </si>
  <si>
    <t>2019.12.16</t>
  </si>
  <si>
    <t>2021.07.14</t>
  </si>
  <si>
    <t xml:space="preserve">2020.07.01 </t>
  </si>
  <si>
    <t>2019.12.23</t>
  </si>
  <si>
    <t>2020.01.08</t>
  </si>
  <si>
    <t>2020.01.20</t>
  </si>
  <si>
    <t>2020.09.17</t>
  </si>
  <si>
    <t>2020.07.21</t>
  </si>
  <si>
    <t>2019.11.18</t>
  </si>
  <si>
    <t>2021.07.28</t>
  </si>
  <si>
    <t>2019.10.23 
"2021 Fall 휴학
-&gt; 2022 Spring 복학"</t>
  </si>
  <si>
    <t>2020.06.18</t>
  </si>
  <si>
    <t>2019.06.18</t>
  </si>
  <si>
    <t>2020.05.28 / 2020년 가을학기 입학</t>
  </si>
  <si>
    <t>2020.07.09 / 2020년 가을학기 입학</t>
  </si>
  <si>
    <t>2019 봄학기 E5 입학 (2019.05.20)</t>
  </si>
  <si>
    <t>2019.07.11</t>
  </si>
  <si>
    <t>2019.10.31</t>
  </si>
  <si>
    <t>2020.08.10</t>
  </si>
  <si>
    <t>2020.08.13</t>
  </si>
  <si>
    <t>2020.11.20</t>
  </si>
  <si>
    <t>2022.09.30</t>
  </si>
  <si>
    <t>2018.07.31</t>
  </si>
  <si>
    <t>2023.01.31</t>
  </si>
  <si>
    <t>2024.07.17</t>
  </si>
  <si>
    <t>2023.03.14</t>
  </si>
  <si>
    <t>2022.11.17</t>
  </si>
  <si>
    <t>2024.10.11</t>
  </si>
  <si>
    <t>2024.07.19</t>
  </si>
  <si>
    <t>2022.06.15</t>
  </si>
  <si>
    <t>2024.06.27</t>
  </si>
  <si>
    <t>2024.06.28</t>
  </si>
  <si>
    <t>2023.02.13</t>
  </si>
  <si>
    <t>2024.11.15</t>
  </si>
  <si>
    <t>2023.07.12</t>
    <phoneticPr fontId="35" type="noConversion"/>
  </si>
  <si>
    <t>2025.5.8</t>
    <phoneticPr fontId="35" type="noConversion"/>
  </si>
  <si>
    <t>2024.02.23</t>
  </si>
  <si>
    <t>2023.12.27</t>
  </si>
  <si>
    <t>2024.01.11</t>
    <phoneticPr fontId="35" type="noConversion"/>
  </si>
  <si>
    <t>장서연</t>
    <phoneticPr fontId="35" type="noConversion"/>
  </si>
  <si>
    <t>2022.04.14</t>
    <phoneticPr fontId="35" type="noConversion"/>
  </si>
  <si>
    <t>Reason</t>
    <phoneticPr fontId="35" type="noConversion"/>
  </si>
  <si>
    <t>중단학기</t>
    <phoneticPr fontId="35" type="noConversion"/>
  </si>
  <si>
    <t>이사</t>
    <phoneticPr fontId="35" type="noConversion"/>
  </si>
  <si>
    <t>자퇴/휴학</t>
    <phoneticPr fontId="35" type="noConversion"/>
  </si>
  <si>
    <t>공교육으로 진학</t>
    <phoneticPr fontId="35" type="noConversion"/>
  </si>
  <si>
    <t>자퇴</t>
    <phoneticPr fontId="35" type="noConversion"/>
  </si>
  <si>
    <t>드라군</t>
    <phoneticPr fontId="35" type="noConversion"/>
  </si>
  <si>
    <t>Dragoon</t>
    <phoneticPr fontId="35" type="noConversion"/>
  </si>
  <si>
    <t>Goon</t>
    <phoneticPr fontId="35" type="noConversion"/>
  </si>
  <si>
    <t>M</t>
    <phoneticPr fontId="35" type="noConversion"/>
  </si>
  <si>
    <t>2011.11.10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</si>
</sst>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-mm\-dd"/>
  </numFmts>
  <fonts count="40" x14ac:knownFonts="1">
    <font>
      <sz val="10"/>
      <color rgb="FF000000"/>
      <name val="Calibri"/>
      <scheme val="minor"/>
    </font>
    <font>
      <sz val="11"/>
      <color theme="1"/>
      <name val="Arial"/>
    </font>
    <font>
      <sz val="21"/>
      <color rgb="FFFFFFFF"/>
      <name val="Arial"/>
    </font>
    <font>
      <b/>
      <sz val="24"/>
      <color rgb="FFFFFFFF"/>
      <name val="Arial"/>
    </font>
    <font>
      <sz val="10"/>
      <name val="Calibri"/>
    </font>
    <font>
      <b/>
      <sz val="9"/>
      <color rgb="FFFF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b/>
      <sz val="9"/>
      <color rgb="FF000000"/>
      <name val="Arial"/>
    </font>
    <font>
      <b/>
      <i/>
      <sz val="9"/>
      <color theme="1"/>
      <name val="Arial"/>
    </font>
    <font>
      <sz val="9"/>
      <color rgb="FF000000"/>
      <name val="Arial"/>
    </font>
    <font>
      <sz val="9"/>
      <color theme="1"/>
      <name val="Arial"/>
    </font>
    <font>
      <sz val="9"/>
      <color rgb="FFFF0000"/>
      <name val="Arial"/>
    </font>
    <font>
      <sz val="10"/>
      <color theme="1"/>
      <name val="Calibri"/>
    </font>
    <font>
      <b/>
      <i/>
      <sz val="9"/>
      <color rgb="FF000000"/>
      <name val="Arial"/>
    </font>
    <font>
      <u/>
      <sz val="9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b/>
      <sz val="10"/>
      <color rgb="FFFFFF00"/>
      <name val="Arial"/>
    </font>
    <font>
      <b/>
      <sz val="11"/>
      <color theme="1"/>
      <name val="Arial"/>
    </font>
    <font>
      <b/>
      <sz val="8"/>
      <color theme="1"/>
      <name val="Arial"/>
    </font>
    <font>
      <sz val="9"/>
      <color rgb="FF444444"/>
      <name val="Arial"/>
    </font>
    <font>
      <u/>
      <sz val="9"/>
      <color rgb="FF4285F4"/>
      <name val="Arial"/>
    </font>
    <font>
      <u/>
      <sz val="9"/>
      <color rgb="FF000000"/>
      <name val="Arial"/>
    </font>
    <font>
      <strike/>
      <sz val="9"/>
      <color theme="1"/>
      <name val="Arial"/>
    </font>
    <font>
      <u/>
      <sz val="9"/>
      <color rgb="FF4285F4"/>
      <name val="Arial"/>
    </font>
    <font>
      <sz val="10"/>
      <color theme="1"/>
      <name val="Calibri"/>
      <scheme val="minor"/>
    </font>
    <font>
      <u/>
      <sz val="9"/>
      <color theme="1"/>
      <name val="Arial"/>
    </font>
    <font>
      <sz val="9"/>
      <color rgb="FF0000FF"/>
      <name val="Arial"/>
    </font>
    <font>
      <u/>
      <sz val="9"/>
      <color rgb="FF1155CC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b/>
      <sz val="9"/>
      <color rgb="FFFF0000"/>
      <name val="Arial"/>
      <family val="2"/>
    </font>
    <font>
      <sz val="9"/>
      <color rgb="FF000000"/>
      <name val="Arial"/>
      <family val="2"/>
    </font>
    <font>
      <sz val="8"/>
      <name val="Calibri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sz val="9"/>
      <color rgb="FF00000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F6F6F6"/>
        <bgColor rgb="FFF6F6F6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right"/>
    </xf>
    <xf numFmtId="176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49" fontId="11" fillId="6" borderId="1" xfId="0" applyNumberFormat="1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1" fillId="6" borderId="1" xfId="0" quotePrefix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quotePrefix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/>
    </xf>
    <xf numFmtId="0" fontId="16" fillId="11" borderId="5" xfId="0" applyFont="1" applyFill="1" applyBorder="1" applyAlignment="1">
      <alignment horizontal="center" vertical="center" wrapText="1"/>
    </xf>
    <xf numFmtId="0" fontId="17" fillId="11" borderId="8" xfId="0" applyFont="1" applyFill="1" applyBorder="1"/>
    <xf numFmtId="0" fontId="7" fillId="11" borderId="0" xfId="0" applyFont="1" applyFill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49" fontId="7" fillId="11" borderId="5" xfId="0" applyNumberFormat="1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17" fillId="11" borderId="7" xfId="0" applyFont="1" applyFill="1" applyBorder="1"/>
    <xf numFmtId="0" fontId="17" fillId="11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1" fillId="6" borderId="1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/>
    </xf>
    <xf numFmtId="49" fontId="21" fillId="6" borderId="13" xfId="0" applyNumberFormat="1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24" fillId="6" borderId="1" xfId="0" applyFont="1" applyFill="1" applyBorder="1" applyAlignment="1">
      <alignment horizontal="center" vertical="center" wrapText="1"/>
    </xf>
    <xf numFmtId="49" fontId="24" fillId="6" borderId="1" xfId="0" applyNumberFormat="1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26" fillId="6" borderId="0" xfId="0" applyFont="1" applyFill="1"/>
    <xf numFmtId="0" fontId="27" fillId="6" borderId="1" xfId="0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49" fontId="11" fillId="6" borderId="23" xfId="0" applyNumberFormat="1" applyFont="1" applyFill="1" applyBorder="1" applyAlignment="1">
      <alignment horizontal="center" vertical="center" wrapText="1"/>
    </xf>
    <xf numFmtId="0" fontId="11" fillId="6" borderId="24" xfId="0" applyFont="1" applyFill="1" applyBorder="1" applyAlignment="1">
      <alignment horizontal="center" vertical="center"/>
    </xf>
    <xf numFmtId="49" fontId="11" fillId="6" borderId="9" xfId="0" applyNumberFormat="1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wrapText="1"/>
    </xf>
    <xf numFmtId="49" fontId="11" fillId="6" borderId="1" xfId="0" applyNumberFormat="1" applyFont="1" applyFill="1" applyBorder="1" applyAlignment="1">
      <alignment horizontal="center" wrapText="1"/>
    </xf>
    <xf numFmtId="0" fontId="13" fillId="6" borderId="1" xfId="0" applyFont="1" applyFill="1" applyBorder="1"/>
    <xf numFmtId="0" fontId="26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29" xfId="0" applyFont="1" applyFill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1" fillId="0" borderId="0" xfId="0" applyFont="1"/>
    <xf numFmtId="0" fontId="11" fillId="5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12" borderId="1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 wrapText="1"/>
    </xf>
    <xf numFmtId="0" fontId="10" fillId="12" borderId="32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28" fillId="0" borderId="1" xfId="0" applyFont="1" applyBorder="1" applyAlignment="1">
      <alignment horizontal="center" vertical="center" wrapText="1"/>
    </xf>
    <xf numFmtId="0" fontId="11" fillId="6" borderId="32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 wrapText="1"/>
    </xf>
    <xf numFmtId="0" fontId="11" fillId="9" borderId="32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32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/>
    </xf>
    <xf numFmtId="0" fontId="12" fillId="3" borderId="32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1" fillId="3" borderId="33" xfId="0" applyFont="1" applyFill="1" applyBorder="1" applyAlignment="1">
      <alignment vertical="center" wrapText="1"/>
    </xf>
    <xf numFmtId="0" fontId="11" fillId="3" borderId="10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9" borderId="4" xfId="0" applyFont="1" applyFill="1" applyBorder="1" applyAlignment="1">
      <alignment vertical="center" wrapText="1"/>
    </xf>
    <xf numFmtId="0" fontId="30" fillId="0" borderId="11" xfId="0" applyFont="1" applyBorder="1" applyAlignment="1">
      <alignment vertical="center"/>
    </xf>
    <xf numFmtId="0" fontId="30" fillId="3" borderId="2" xfId="0" applyFont="1" applyFill="1" applyBorder="1" applyAlignment="1">
      <alignment vertical="center" wrapText="1"/>
    </xf>
    <xf numFmtId="0" fontId="30" fillId="3" borderId="4" xfId="0" applyFont="1" applyFill="1" applyBorder="1" applyAlignment="1">
      <alignment vertical="center" wrapText="1"/>
    </xf>
    <xf numFmtId="0" fontId="30" fillId="3" borderId="2" xfId="0" applyFont="1" applyFill="1" applyBorder="1" applyAlignment="1">
      <alignment wrapText="1"/>
    </xf>
    <xf numFmtId="0" fontId="30" fillId="0" borderId="2" xfId="0" applyFont="1" applyBorder="1"/>
    <xf numFmtId="0" fontId="30" fillId="3" borderId="2" xfId="0" applyFont="1" applyFill="1" applyBorder="1" applyAlignment="1">
      <alignment vertical="center"/>
    </xf>
    <xf numFmtId="0" fontId="30" fillId="6" borderId="4" xfId="0" applyFont="1" applyFill="1" applyBorder="1" applyAlignment="1">
      <alignment vertical="center" wrapText="1"/>
    </xf>
    <xf numFmtId="0" fontId="30" fillId="0" borderId="2" xfId="0" applyFont="1" applyBorder="1" applyAlignment="1">
      <alignment vertical="center"/>
    </xf>
    <xf numFmtId="0" fontId="30" fillId="3" borderId="33" xfId="0" applyFont="1" applyFill="1" applyBorder="1" applyAlignment="1">
      <alignment vertical="center" wrapText="1"/>
    </xf>
    <xf numFmtId="0" fontId="30" fillId="3" borderId="10" xfId="0" applyFont="1" applyFill="1" applyBorder="1" applyAlignment="1">
      <alignment vertical="center" wrapText="1"/>
    </xf>
    <xf numFmtId="0" fontId="34" fillId="3" borderId="4" xfId="0" applyFont="1" applyFill="1" applyBorder="1" applyAlignment="1">
      <alignment vertical="center" wrapText="1"/>
    </xf>
    <xf numFmtId="0" fontId="30" fillId="9" borderId="4" xfId="0" applyFont="1" applyFill="1" applyBorder="1" applyAlignment="1">
      <alignment vertical="center" wrapText="1"/>
    </xf>
    <xf numFmtId="0" fontId="34" fillId="3" borderId="10" xfId="0" applyFont="1" applyFill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0" fontId="30" fillId="0" borderId="33" xfId="0" applyFont="1" applyBorder="1" applyAlignment="1">
      <alignment vertical="center" wrapText="1"/>
    </xf>
    <xf numFmtId="0" fontId="11" fillId="12" borderId="2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7" fillId="4" borderId="29" xfId="0" applyFont="1" applyFill="1" applyBorder="1" applyAlignment="1">
      <alignment horizontal="center" vertical="center" wrapText="1"/>
    </xf>
    <xf numFmtId="0" fontId="38" fillId="4" borderId="29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7" fillId="4" borderId="4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7" fillId="4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11" fillId="6" borderId="4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11" fillId="6" borderId="10" xfId="0" applyFont="1" applyFill="1" applyBorder="1" applyAlignment="1">
      <alignment horizontal="center" vertical="center" wrapText="1"/>
    </xf>
    <xf numFmtId="0" fontId="0" fillId="0" borderId="0" xfId="0"/>
    <xf numFmtId="0" fontId="11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9" xfId="0" applyFont="1" applyBorder="1"/>
    <xf numFmtId="0" fontId="9" fillId="0" borderId="5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4" fillId="0" borderId="15" xfId="0" applyFont="1" applyBorder="1"/>
    <xf numFmtId="0" fontId="14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7" fillId="4" borderId="5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">
    <tableStyle name="Statistics (통계)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Statistics (통계)-style 2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allme.mr/" TargetMode="External"/><Relationship Id="rId2" Type="http://schemas.openxmlformats.org/officeDocument/2006/relationships/hyperlink" Target="http://callme.mr/" TargetMode="External"/><Relationship Id="rId1" Type="http://schemas.openxmlformats.org/officeDocument/2006/relationships/hyperlink" Target="http://callme.mr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://callme.m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80000"/>
    <outlinePr summaryBelow="0" summaryRight="0"/>
    <pageSetUpPr fitToPage="1"/>
  </sheetPr>
  <dimension ref="A1:BB97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defaultColWidth="14.44140625" defaultRowHeight="15" customHeight="1" x14ac:dyDescent="0.3"/>
  <cols>
    <col min="1" max="1" width="4.5546875" customWidth="1"/>
    <col min="2" max="2" width="12.33203125" customWidth="1"/>
    <col min="3" max="3" width="15" customWidth="1"/>
    <col min="4" max="4" width="22.109375" customWidth="1"/>
    <col min="5" max="5" width="17.88671875" customWidth="1"/>
    <col min="6" max="6" width="21.5546875" customWidth="1"/>
    <col min="7" max="7" width="15.6640625" customWidth="1"/>
    <col min="8" max="9" width="12.5546875" customWidth="1"/>
    <col min="10" max="10" width="78.88671875" customWidth="1"/>
    <col min="11" max="11" width="8.33203125" customWidth="1"/>
    <col min="12" max="12" width="9.44140625" customWidth="1"/>
    <col min="13" max="13" width="17.5546875" customWidth="1"/>
    <col min="14" max="14" width="19.33203125" customWidth="1"/>
    <col min="15" max="15" width="23.109375" customWidth="1"/>
    <col min="16" max="16" width="45" customWidth="1"/>
    <col min="17" max="17" width="20.44140625" customWidth="1"/>
    <col min="18" max="18" width="16" customWidth="1"/>
    <col min="19" max="19" width="16.5546875" customWidth="1"/>
    <col min="20" max="20" width="14.33203125" customWidth="1"/>
    <col min="21" max="21" width="14.109375" customWidth="1"/>
    <col min="22" max="22" width="12.5546875" customWidth="1"/>
    <col min="23" max="24" width="14" customWidth="1"/>
    <col min="25" max="25" width="12.5546875" customWidth="1"/>
    <col min="26" max="31" width="13.44140625" customWidth="1"/>
    <col min="32" max="54" width="18.44140625" customWidth="1"/>
  </cols>
  <sheetData>
    <row r="1" spans="1:54" ht="41.25" customHeight="1" x14ac:dyDescent="0.3">
      <c r="A1" s="1"/>
      <c r="B1" s="2"/>
      <c r="C1" s="2"/>
      <c r="D1" s="2"/>
      <c r="E1" s="3"/>
      <c r="F1" s="219" t="s">
        <v>0</v>
      </c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8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4" ht="13.8" x14ac:dyDescent="0.3">
      <c r="A2" s="1"/>
      <c r="B2" s="5"/>
      <c r="C2" s="6">
        <f ca="1">TODAY()</f>
        <v>46115</v>
      </c>
      <c r="D2" s="7"/>
      <c r="E2" s="7" t="s">
        <v>1</v>
      </c>
      <c r="F2" s="8"/>
      <c r="G2" s="9"/>
      <c r="H2" s="10"/>
      <c r="I2" s="11"/>
      <c r="J2" s="10"/>
      <c r="K2" s="10"/>
      <c r="L2" s="10"/>
      <c r="M2" s="10"/>
      <c r="N2" s="9"/>
      <c r="O2" s="9" t="s">
        <v>2</v>
      </c>
      <c r="P2" s="12"/>
      <c r="Q2" s="9"/>
      <c r="R2" s="10"/>
      <c r="S2" s="10"/>
      <c r="T2" s="10"/>
      <c r="U2" s="9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</row>
    <row r="3" spans="1:54" ht="13.8" x14ac:dyDescent="0.3">
      <c r="A3" s="1"/>
      <c r="B3" s="218" t="s">
        <v>3</v>
      </c>
      <c r="C3" s="218" t="s">
        <v>4</v>
      </c>
      <c r="D3" s="218" t="s">
        <v>5</v>
      </c>
      <c r="E3" s="218" t="s">
        <v>6</v>
      </c>
      <c r="F3" s="216" t="s">
        <v>7</v>
      </c>
      <c r="G3" s="218" t="s">
        <v>8</v>
      </c>
      <c r="H3" s="216" t="s">
        <v>9</v>
      </c>
      <c r="I3" s="221" t="s">
        <v>10</v>
      </c>
      <c r="J3" s="218" t="s">
        <v>11</v>
      </c>
      <c r="K3" s="218" t="s">
        <v>12</v>
      </c>
      <c r="L3" s="218" t="s">
        <v>3</v>
      </c>
      <c r="M3" s="218" t="s">
        <v>13</v>
      </c>
      <c r="N3" s="218" t="s">
        <v>14</v>
      </c>
      <c r="O3" s="218" t="s">
        <v>15</v>
      </c>
      <c r="P3" s="216" t="s">
        <v>16</v>
      </c>
      <c r="Q3" s="218" t="s">
        <v>17</v>
      </c>
      <c r="R3" s="220" t="s">
        <v>18</v>
      </c>
      <c r="S3" s="186"/>
      <c r="T3" s="188"/>
      <c r="U3" s="220" t="s">
        <v>19</v>
      </c>
      <c r="V3" s="188"/>
      <c r="W3" s="14"/>
      <c r="X3" s="14"/>
      <c r="Y3" s="14"/>
      <c r="Z3" s="207" t="s">
        <v>20</v>
      </c>
      <c r="AA3" s="190"/>
      <c r="AB3" s="190"/>
      <c r="AC3" s="190"/>
      <c r="AD3" s="190"/>
      <c r="AE3" s="191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</row>
    <row r="4" spans="1:54" ht="13.8" x14ac:dyDescent="0.3">
      <c r="A4" s="1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14" t="s">
        <v>14</v>
      </c>
      <c r="S4" s="14" t="s">
        <v>15</v>
      </c>
      <c r="T4" s="14" t="s">
        <v>21</v>
      </c>
      <c r="U4" s="14" t="s">
        <v>22</v>
      </c>
      <c r="V4" s="14" t="s">
        <v>23</v>
      </c>
      <c r="W4" s="14" t="s">
        <v>24</v>
      </c>
      <c r="X4" s="14" t="s">
        <v>25</v>
      </c>
      <c r="Y4" s="14" t="s">
        <v>26</v>
      </c>
      <c r="Z4" s="192"/>
      <c r="AA4" s="193"/>
      <c r="AB4" s="193"/>
      <c r="AC4" s="193"/>
      <c r="AD4" s="193"/>
      <c r="AE4" s="194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 spans="1:54" ht="21" customHeight="1" x14ac:dyDescent="0.3">
      <c r="A5" s="1">
        <v>1</v>
      </c>
      <c r="B5" s="203" t="str">
        <f>"T1                      ("&amp;COUNTA(E5:E11)&amp;")"</f>
        <v>T1                      (7)</v>
      </c>
      <c r="C5" s="206" t="s">
        <v>27</v>
      </c>
      <c r="D5" s="16"/>
      <c r="E5" s="17" t="s">
        <v>28</v>
      </c>
      <c r="F5" s="18" t="s">
        <v>29</v>
      </c>
      <c r="G5" s="18" t="s">
        <v>30</v>
      </c>
      <c r="H5" s="18" t="s">
        <v>31</v>
      </c>
      <c r="I5" s="19" t="s">
        <v>32</v>
      </c>
      <c r="J5" s="20" t="s">
        <v>33</v>
      </c>
      <c r="K5" s="18" t="s">
        <v>34</v>
      </c>
      <c r="L5" s="18" t="s">
        <v>35</v>
      </c>
      <c r="M5" s="18" t="s">
        <v>36</v>
      </c>
      <c r="N5" s="18" t="s">
        <v>37</v>
      </c>
      <c r="O5" s="18" t="s">
        <v>38</v>
      </c>
      <c r="P5" s="18" t="s">
        <v>39</v>
      </c>
      <c r="Q5" s="18" t="s">
        <v>40</v>
      </c>
      <c r="R5" s="18" t="s">
        <v>41</v>
      </c>
      <c r="S5" s="18" t="s">
        <v>42</v>
      </c>
      <c r="T5" s="18"/>
      <c r="U5" s="21" t="s">
        <v>43</v>
      </c>
      <c r="V5" s="18"/>
      <c r="W5" s="18"/>
      <c r="X5" s="18"/>
      <c r="Y5" s="18"/>
      <c r="Z5" s="202" t="s">
        <v>44</v>
      </c>
      <c r="AA5" s="186"/>
      <c r="AB5" s="186"/>
      <c r="AC5" s="186"/>
      <c r="AD5" s="186"/>
      <c r="AE5" s="188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</row>
    <row r="6" spans="1:54" ht="21" customHeight="1" x14ac:dyDescent="0.3">
      <c r="A6" s="1">
        <v>2</v>
      </c>
      <c r="B6" s="204"/>
      <c r="C6" s="204"/>
      <c r="D6" s="16"/>
      <c r="E6" s="24" t="s">
        <v>45</v>
      </c>
      <c r="F6" s="18" t="s">
        <v>46</v>
      </c>
      <c r="G6" s="18" t="s">
        <v>47</v>
      </c>
      <c r="H6" s="18" t="s">
        <v>48</v>
      </c>
      <c r="I6" s="19" t="s">
        <v>49</v>
      </c>
      <c r="J6" s="20" t="s">
        <v>50</v>
      </c>
      <c r="K6" s="18" t="s">
        <v>51</v>
      </c>
      <c r="L6" s="18" t="s">
        <v>35</v>
      </c>
      <c r="M6" s="18" t="s">
        <v>52</v>
      </c>
      <c r="N6" s="18" t="s">
        <v>53</v>
      </c>
      <c r="O6" s="18" t="s">
        <v>54</v>
      </c>
      <c r="P6" s="18" t="s">
        <v>55</v>
      </c>
      <c r="Q6" s="18"/>
      <c r="R6" s="18" t="s">
        <v>56</v>
      </c>
      <c r="S6" s="18" t="s">
        <v>57</v>
      </c>
      <c r="T6" s="18"/>
      <c r="U6" s="21" t="s">
        <v>58</v>
      </c>
      <c r="V6" s="18"/>
      <c r="W6" s="18"/>
      <c r="X6" s="18"/>
      <c r="Y6" s="18"/>
      <c r="Z6" s="202" t="s">
        <v>59</v>
      </c>
      <c r="AA6" s="186"/>
      <c r="AB6" s="186"/>
      <c r="AC6" s="186"/>
      <c r="AD6" s="186"/>
      <c r="AE6" s="188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</row>
    <row r="7" spans="1:54" ht="21" customHeight="1" x14ac:dyDescent="0.3">
      <c r="A7" s="1">
        <v>3</v>
      </c>
      <c r="B7" s="204"/>
      <c r="C7" s="204"/>
      <c r="D7" s="16"/>
      <c r="E7" s="24" t="s">
        <v>60</v>
      </c>
      <c r="F7" s="18" t="s">
        <v>61</v>
      </c>
      <c r="G7" s="18" t="s">
        <v>62</v>
      </c>
      <c r="H7" s="18" t="s">
        <v>63</v>
      </c>
      <c r="I7" s="19" t="s">
        <v>64</v>
      </c>
      <c r="J7" s="20" t="s">
        <v>65</v>
      </c>
      <c r="K7" s="18" t="s">
        <v>34</v>
      </c>
      <c r="L7" s="18" t="s">
        <v>35</v>
      </c>
      <c r="M7" s="18" t="s">
        <v>66</v>
      </c>
      <c r="N7" s="18" t="s">
        <v>67</v>
      </c>
      <c r="O7" s="18" t="s">
        <v>68</v>
      </c>
      <c r="P7" s="18" t="s">
        <v>69</v>
      </c>
      <c r="Q7" s="18"/>
      <c r="R7" s="18" t="s">
        <v>70</v>
      </c>
      <c r="S7" s="18" t="s">
        <v>71</v>
      </c>
      <c r="T7" s="18"/>
      <c r="U7" s="21" t="s">
        <v>58</v>
      </c>
      <c r="V7" s="18"/>
      <c r="W7" s="18"/>
      <c r="X7" s="18"/>
      <c r="Y7" s="18"/>
      <c r="Z7" s="202" t="s">
        <v>59</v>
      </c>
      <c r="AA7" s="186"/>
      <c r="AB7" s="186"/>
      <c r="AC7" s="186"/>
      <c r="AD7" s="186"/>
      <c r="AE7" s="188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</row>
    <row r="8" spans="1:54" ht="21" customHeight="1" x14ac:dyDescent="0.3">
      <c r="A8" s="1">
        <v>4</v>
      </c>
      <c r="B8" s="204"/>
      <c r="C8" s="204"/>
      <c r="D8" s="16"/>
      <c r="E8" s="24" t="s">
        <v>72</v>
      </c>
      <c r="F8" s="18" t="s">
        <v>73</v>
      </c>
      <c r="G8" s="18" t="s">
        <v>74</v>
      </c>
      <c r="H8" s="18" t="s">
        <v>75</v>
      </c>
      <c r="I8" s="19" t="s">
        <v>64</v>
      </c>
      <c r="J8" s="20" t="s">
        <v>76</v>
      </c>
      <c r="K8" s="18" t="s">
        <v>51</v>
      </c>
      <c r="L8" s="18" t="s">
        <v>35</v>
      </c>
      <c r="M8" s="18" t="s">
        <v>77</v>
      </c>
      <c r="N8" s="18" t="s">
        <v>78</v>
      </c>
      <c r="O8" s="18" t="s">
        <v>79</v>
      </c>
      <c r="P8" s="18" t="s">
        <v>80</v>
      </c>
      <c r="Q8" s="18"/>
      <c r="R8" s="18" t="s">
        <v>81</v>
      </c>
      <c r="S8" s="18" t="s">
        <v>82</v>
      </c>
      <c r="T8" s="18"/>
      <c r="U8" s="21" t="s">
        <v>58</v>
      </c>
      <c r="V8" s="18"/>
      <c r="W8" s="18"/>
      <c r="X8" s="18"/>
      <c r="Y8" s="18"/>
      <c r="Z8" s="202" t="s">
        <v>83</v>
      </c>
      <c r="AA8" s="186"/>
      <c r="AB8" s="186"/>
      <c r="AC8" s="186"/>
      <c r="AD8" s="186"/>
      <c r="AE8" s="188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</row>
    <row r="9" spans="1:54" ht="21" customHeight="1" x14ac:dyDescent="0.3">
      <c r="A9" s="1">
        <v>5</v>
      </c>
      <c r="B9" s="204"/>
      <c r="C9" s="204"/>
      <c r="D9" s="16"/>
      <c r="E9" s="24" t="s">
        <v>84</v>
      </c>
      <c r="F9" s="18" t="s">
        <v>85</v>
      </c>
      <c r="G9" s="18" t="s">
        <v>86</v>
      </c>
      <c r="H9" s="18" t="s">
        <v>87</v>
      </c>
      <c r="I9" s="19" t="s">
        <v>88</v>
      </c>
      <c r="J9" s="20" t="s">
        <v>89</v>
      </c>
      <c r="K9" s="18" t="s">
        <v>51</v>
      </c>
      <c r="L9" s="18" t="s">
        <v>35</v>
      </c>
      <c r="M9" s="18" t="s">
        <v>90</v>
      </c>
      <c r="N9" s="18" t="s">
        <v>91</v>
      </c>
      <c r="O9" s="18" t="s">
        <v>92</v>
      </c>
      <c r="P9" s="18" t="s">
        <v>93</v>
      </c>
      <c r="Q9" s="18"/>
      <c r="R9" s="18" t="s">
        <v>94</v>
      </c>
      <c r="S9" s="18" t="s">
        <v>95</v>
      </c>
      <c r="T9" s="18"/>
      <c r="U9" s="21" t="s">
        <v>58</v>
      </c>
      <c r="V9" s="18"/>
      <c r="W9" s="18"/>
      <c r="X9" s="18"/>
      <c r="Y9" s="18"/>
      <c r="Z9" s="202" t="s">
        <v>96</v>
      </c>
      <c r="AA9" s="186"/>
      <c r="AB9" s="186"/>
      <c r="AC9" s="186"/>
      <c r="AD9" s="186"/>
      <c r="AE9" s="188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</row>
    <row r="10" spans="1:54" ht="21" customHeight="1" x14ac:dyDescent="0.3">
      <c r="A10" s="1">
        <v>6</v>
      </c>
      <c r="B10" s="204"/>
      <c r="C10" s="204"/>
      <c r="D10" s="25" t="s">
        <v>97</v>
      </c>
      <c r="E10" s="17" t="s">
        <v>98</v>
      </c>
      <c r="F10" s="17" t="s">
        <v>99</v>
      </c>
      <c r="G10" s="17" t="s">
        <v>100</v>
      </c>
      <c r="H10" s="17" t="s">
        <v>101</v>
      </c>
      <c r="I10" s="26" t="s">
        <v>102</v>
      </c>
      <c r="J10" s="17" t="s">
        <v>103</v>
      </c>
      <c r="K10" s="17" t="s">
        <v>51</v>
      </c>
      <c r="L10" s="17" t="s">
        <v>35</v>
      </c>
      <c r="M10" s="17" t="s">
        <v>104</v>
      </c>
      <c r="N10" s="17" t="s">
        <v>105</v>
      </c>
      <c r="O10" s="17" t="s">
        <v>106</v>
      </c>
      <c r="P10" s="17" t="s">
        <v>107</v>
      </c>
      <c r="Q10" s="17"/>
      <c r="R10" s="17" t="s">
        <v>108</v>
      </c>
      <c r="S10" s="17" t="s">
        <v>109</v>
      </c>
      <c r="T10" s="17"/>
      <c r="U10" s="27" t="s">
        <v>110</v>
      </c>
      <c r="V10" s="17"/>
      <c r="W10" s="17"/>
      <c r="X10" s="17"/>
      <c r="Y10" s="17"/>
      <c r="Z10" s="195" t="s">
        <v>111</v>
      </c>
      <c r="AA10" s="186"/>
      <c r="AB10" s="186"/>
      <c r="AC10" s="186"/>
      <c r="AD10" s="186"/>
      <c r="AE10" s="188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</row>
    <row r="11" spans="1:54" ht="21" customHeight="1" x14ac:dyDescent="0.3">
      <c r="A11" s="1">
        <v>7</v>
      </c>
      <c r="B11" s="205"/>
      <c r="C11" s="205"/>
      <c r="D11" s="25" t="s">
        <v>97</v>
      </c>
      <c r="E11" s="17" t="s">
        <v>112</v>
      </c>
      <c r="F11" s="17" t="s">
        <v>113</v>
      </c>
      <c r="G11" s="17" t="s">
        <v>114</v>
      </c>
      <c r="H11" s="17" t="s">
        <v>115</v>
      </c>
      <c r="I11" s="26" t="s">
        <v>116</v>
      </c>
      <c r="J11" s="29" t="s">
        <v>117</v>
      </c>
      <c r="K11" s="17" t="s">
        <v>51</v>
      </c>
      <c r="L11" s="17" t="s">
        <v>35</v>
      </c>
      <c r="M11" s="17" t="s">
        <v>118</v>
      </c>
      <c r="N11" s="17" t="s">
        <v>119</v>
      </c>
      <c r="O11" s="17" t="s">
        <v>120</v>
      </c>
      <c r="P11" s="17" t="s">
        <v>121</v>
      </c>
      <c r="Q11" s="17"/>
      <c r="R11" s="17" t="s">
        <v>122</v>
      </c>
      <c r="S11" s="17" t="s">
        <v>123</v>
      </c>
      <c r="T11" s="17"/>
      <c r="U11" s="30" t="s">
        <v>110</v>
      </c>
      <c r="V11" s="17"/>
      <c r="W11" s="17"/>
      <c r="X11" s="17"/>
      <c r="Y11" s="17"/>
      <c r="Z11" s="195" t="s">
        <v>124</v>
      </c>
      <c r="AA11" s="186"/>
      <c r="AB11" s="186"/>
      <c r="AC11" s="186"/>
      <c r="AD11" s="186"/>
      <c r="AE11" s="188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</row>
    <row r="12" spans="1:54" ht="21" customHeight="1" x14ac:dyDescent="0.3">
      <c r="A12" s="1">
        <v>8</v>
      </c>
      <c r="B12" s="203" t="str">
        <f>"E1                      ("&amp;COUNTA(E12:E19)&amp;")"</f>
        <v>E1                      (8)</v>
      </c>
      <c r="C12" s="206" t="s">
        <v>125</v>
      </c>
      <c r="D12" s="16"/>
      <c r="E12" s="17" t="s">
        <v>126</v>
      </c>
      <c r="F12" s="18" t="s">
        <v>127</v>
      </c>
      <c r="G12" s="18" t="s">
        <v>128</v>
      </c>
      <c r="H12" s="18" t="s">
        <v>129</v>
      </c>
      <c r="I12" s="19" t="s">
        <v>130</v>
      </c>
      <c r="J12" s="20" t="s">
        <v>131</v>
      </c>
      <c r="K12" s="18" t="s">
        <v>51</v>
      </c>
      <c r="L12" s="18">
        <v>1</v>
      </c>
      <c r="M12" s="18" t="s">
        <v>132</v>
      </c>
      <c r="N12" s="18" t="s">
        <v>133</v>
      </c>
      <c r="O12" s="18" t="s">
        <v>134</v>
      </c>
      <c r="P12" s="18" t="s">
        <v>135</v>
      </c>
      <c r="Q12" s="18"/>
      <c r="R12" s="18" t="s">
        <v>136</v>
      </c>
      <c r="S12" s="18" t="s">
        <v>137</v>
      </c>
      <c r="T12" s="18"/>
      <c r="U12" s="21" t="s">
        <v>43</v>
      </c>
      <c r="V12" s="18"/>
      <c r="W12" s="18"/>
      <c r="X12" s="18"/>
      <c r="Y12" s="18"/>
      <c r="Z12" s="202" t="s">
        <v>138</v>
      </c>
      <c r="AA12" s="186"/>
      <c r="AB12" s="186"/>
      <c r="AC12" s="186"/>
      <c r="AD12" s="186"/>
      <c r="AE12" s="188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</row>
    <row r="13" spans="1:54" ht="21" customHeight="1" x14ac:dyDescent="0.3">
      <c r="A13" s="1">
        <v>9</v>
      </c>
      <c r="B13" s="204"/>
      <c r="C13" s="204"/>
      <c r="D13" s="16"/>
      <c r="E13" s="17" t="s">
        <v>139</v>
      </c>
      <c r="F13" s="18" t="s">
        <v>140</v>
      </c>
      <c r="G13" s="18" t="s">
        <v>141</v>
      </c>
      <c r="H13" s="18" t="s">
        <v>142</v>
      </c>
      <c r="I13" s="19" t="s">
        <v>143</v>
      </c>
      <c r="J13" s="20" t="s">
        <v>144</v>
      </c>
      <c r="K13" s="18" t="s">
        <v>51</v>
      </c>
      <c r="L13" s="18">
        <v>1</v>
      </c>
      <c r="M13" s="18" t="s">
        <v>145</v>
      </c>
      <c r="N13" s="18" t="s">
        <v>146</v>
      </c>
      <c r="O13" s="18" t="s">
        <v>147</v>
      </c>
      <c r="P13" s="18" t="s">
        <v>148</v>
      </c>
      <c r="Q13" s="18"/>
      <c r="R13" s="18" t="s">
        <v>149</v>
      </c>
      <c r="S13" s="18" t="s">
        <v>150</v>
      </c>
      <c r="T13" s="18"/>
      <c r="U13" s="21" t="s">
        <v>43</v>
      </c>
      <c r="V13" s="18"/>
      <c r="W13" s="18"/>
      <c r="X13" s="18"/>
      <c r="Y13" s="18"/>
      <c r="Z13" s="202" t="s">
        <v>151</v>
      </c>
      <c r="AA13" s="186"/>
      <c r="AB13" s="186"/>
      <c r="AC13" s="186"/>
      <c r="AD13" s="186"/>
      <c r="AE13" s="188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</row>
    <row r="14" spans="1:54" ht="21" customHeight="1" x14ac:dyDescent="0.3">
      <c r="A14" s="1">
        <v>10</v>
      </c>
      <c r="B14" s="204"/>
      <c r="C14" s="204"/>
      <c r="D14" s="16"/>
      <c r="E14" s="17" t="s">
        <v>152</v>
      </c>
      <c r="F14" s="18" t="s">
        <v>153</v>
      </c>
      <c r="G14" s="18" t="s">
        <v>154</v>
      </c>
      <c r="H14" s="18" t="s">
        <v>155</v>
      </c>
      <c r="I14" s="19" t="s">
        <v>156</v>
      </c>
      <c r="J14" s="20" t="s">
        <v>157</v>
      </c>
      <c r="K14" s="18" t="s">
        <v>34</v>
      </c>
      <c r="L14" s="18">
        <v>1</v>
      </c>
      <c r="M14" s="18" t="s">
        <v>158</v>
      </c>
      <c r="N14" s="18" t="s">
        <v>159</v>
      </c>
      <c r="O14" s="18" t="s">
        <v>160</v>
      </c>
      <c r="P14" s="18" t="s">
        <v>161</v>
      </c>
      <c r="Q14" s="18"/>
      <c r="R14" s="18" t="s">
        <v>162</v>
      </c>
      <c r="S14" s="18" t="s">
        <v>163</v>
      </c>
      <c r="T14" s="18"/>
      <c r="U14" s="21" t="s">
        <v>164</v>
      </c>
      <c r="V14" s="18"/>
      <c r="W14" s="18"/>
      <c r="X14" s="18"/>
      <c r="Y14" s="18"/>
      <c r="Z14" s="202" t="s">
        <v>165</v>
      </c>
      <c r="AA14" s="186"/>
      <c r="AB14" s="186"/>
      <c r="AC14" s="186"/>
      <c r="AD14" s="186"/>
      <c r="AE14" s="188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</row>
    <row r="15" spans="1:54" ht="21" customHeight="1" x14ac:dyDescent="0.3">
      <c r="A15" s="1">
        <v>11</v>
      </c>
      <c r="B15" s="204"/>
      <c r="C15" s="204"/>
      <c r="D15" s="16"/>
      <c r="E15" s="17" t="s">
        <v>166</v>
      </c>
      <c r="F15" s="18" t="s">
        <v>167</v>
      </c>
      <c r="G15" s="18" t="s">
        <v>168</v>
      </c>
      <c r="H15" s="18" t="s">
        <v>169</v>
      </c>
      <c r="I15" s="19" t="s">
        <v>130</v>
      </c>
      <c r="J15" s="31" t="s">
        <v>170</v>
      </c>
      <c r="K15" s="18" t="s">
        <v>34</v>
      </c>
      <c r="L15" s="18">
        <v>1</v>
      </c>
      <c r="M15" s="18" t="s">
        <v>171</v>
      </c>
      <c r="N15" s="18" t="s">
        <v>172</v>
      </c>
      <c r="O15" s="18" t="s">
        <v>173</v>
      </c>
      <c r="P15" s="18" t="s">
        <v>174</v>
      </c>
      <c r="Q15" s="18"/>
      <c r="R15" s="18" t="s">
        <v>175</v>
      </c>
      <c r="S15" s="18" t="s">
        <v>176</v>
      </c>
      <c r="T15" s="18"/>
      <c r="U15" s="21" t="s">
        <v>58</v>
      </c>
      <c r="V15" s="18"/>
      <c r="W15" s="18"/>
      <c r="X15" s="18"/>
      <c r="Y15" s="18"/>
      <c r="Z15" s="202" t="s">
        <v>177</v>
      </c>
      <c r="AA15" s="186"/>
      <c r="AB15" s="186"/>
      <c r="AC15" s="186"/>
      <c r="AD15" s="186"/>
      <c r="AE15" s="188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</row>
    <row r="16" spans="1:54" ht="21" customHeight="1" x14ac:dyDescent="0.3">
      <c r="A16" s="1">
        <v>12</v>
      </c>
      <c r="B16" s="204"/>
      <c r="C16" s="204"/>
      <c r="D16" s="25" t="s">
        <v>97</v>
      </c>
      <c r="E16" s="17" t="s">
        <v>178</v>
      </c>
      <c r="F16" s="17" t="s">
        <v>179</v>
      </c>
      <c r="G16" s="17" t="s">
        <v>180</v>
      </c>
      <c r="H16" s="17" t="s">
        <v>181</v>
      </c>
      <c r="I16" s="26" t="s">
        <v>182</v>
      </c>
      <c r="J16" s="17" t="s">
        <v>183</v>
      </c>
      <c r="K16" s="17" t="s">
        <v>51</v>
      </c>
      <c r="L16" s="17">
        <v>1</v>
      </c>
      <c r="M16" s="17" t="s">
        <v>184</v>
      </c>
      <c r="N16" s="17" t="s">
        <v>185</v>
      </c>
      <c r="O16" s="17" t="s">
        <v>186</v>
      </c>
      <c r="P16" s="17" t="s">
        <v>187</v>
      </c>
      <c r="Q16" s="17"/>
      <c r="R16" s="17"/>
      <c r="S16" s="17" t="s">
        <v>188</v>
      </c>
      <c r="T16" s="17"/>
      <c r="U16" s="27" t="s">
        <v>110</v>
      </c>
      <c r="V16" s="17"/>
      <c r="W16" s="17"/>
      <c r="X16" s="17"/>
      <c r="Y16" s="17"/>
      <c r="Z16" s="195" t="s">
        <v>189</v>
      </c>
      <c r="AA16" s="186"/>
      <c r="AB16" s="186"/>
      <c r="AC16" s="186"/>
      <c r="AD16" s="186"/>
      <c r="AE16" s="188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</row>
    <row r="17" spans="1:54" ht="21" customHeight="1" x14ac:dyDescent="0.3">
      <c r="A17" s="1">
        <v>13</v>
      </c>
      <c r="B17" s="204"/>
      <c r="C17" s="204"/>
      <c r="D17" s="25" t="s">
        <v>97</v>
      </c>
      <c r="E17" s="17" t="s">
        <v>190</v>
      </c>
      <c r="F17" s="17" t="s">
        <v>191</v>
      </c>
      <c r="G17" s="17" t="s">
        <v>192</v>
      </c>
      <c r="H17" s="17" t="s">
        <v>193</v>
      </c>
      <c r="I17" s="26" t="s">
        <v>194</v>
      </c>
      <c r="J17" s="17" t="s">
        <v>195</v>
      </c>
      <c r="K17" s="17" t="s">
        <v>51</v>
      </c>
      <c r="L17" s="17">
        <v>1</v>
      </c>
      <c r="M17" s="17" t="s">
        <v>196</v>
      </c>
      <c r="N17" s="17" t="s">
        <v>197</v>
      </c>
      <c r="O17" s="17" t="s">
        <v>28</v>
      </c>
      <c r="P17" s="17" t="s">
        <v>198</v>
      </c>
      <c r="Q17" s="17"/>
      <c r="R17" s="17" t="s">
        <v>199</v>
      </c>
      <c r="S17" s="17" t="s">
        <v>200</v>
      </c>
      <c r="T17" s="17"/>
      <c r="U17" s="30" t="s">
        <v>110</v>
      </c>
      <c r="V17" s="17"/>
      <c r="W17" s="17"/>
      <c r="X17" s="17"/>
      <c r="Y17" s="17"/>
      <c r="Z17" s="195" t="s">
        <v>201</v>
      </c>
      <c r="AA17" s="186"/>
      <c r="AB17" s="186"/>
      <c r="AC17" s="186"/>
      <c r="AD17" s="186"/>
      <c r="AE17" s="188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</row>
    <row r="18" spans="1:54" ht="21" customHeight="1" x14ac:dyDescent="0.3">
      <c r="A18" s="1">
        <v>14</v>
      </c>
      <c r="B18" s="204"/>
      <c r="C18" s="204"/>
      <c r="D18" s="25" t="s">
        <v>97</v>
      </c>
      <c r="E18" s="17" t="s">
        <v>202</v>
      </c>
      <c r="F18" s="17" t="s">
        <v>203</v>
      </c>
      <c r="G18" s="17" t="s">
        <v>204</v>
      </c>
      <c r="H18" s="17" t="s">
        <v>205</v>
      </c>
      <c r="I18" s="26" t="s">
        <v>206</v>
      </c>
      <c r="J18" s="17" t="s">
        <v>207</v>
      </c>
      <c r="K18" s="17" t="s">
        <v>51</v>
      </c>
      <c r="L18" s="17">
        <v>1</v>
      </c>
      <c r="M18" s="17" t="s">
        <v>208</v>
      </c>
      <c r="N18" s="17" t="s">
        <v>209</v>
      </c>
      <c r="O18" s="17" t="s">
        <v>210</v>
      </c>
      <c r="P18" s="17" t="s">
        <v>211</v>
      </c>
      <c r="Q18" s="17"/>
      <c r="R18" s="17" t="s">
        <v>212</v>
      </c>
      <c r="S18" s="17" t="s">
        <v>213</v>
      </c>
      <c r="T18" s="17"/>
      <c r="U18" s="30" t="s">
        <v>110</v>
      </c>
      <c r="V18" s="17"/>
      <c r="W18" s="17"/>
      <c r="X18" s="17"/>
      <c r="Y18" s="17"/>
      <c r="Z18" s="195" t="s">
        <v>214</v>
      </c>
      <c r="AA18" s="186"/>
      <c r="AB18" s="186"/>
      <c r="AC18" s="186"/>
      <c r="AD18" s="186"/>
      <c r="AE18" s="188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</row>
    <row r="19" spans="1:54" ht="21" customHeight="1" x14ac:dyDescent="0.3">
      <c r="A19" s="1">
        <v>15</v>
      </c>
      <c r="B19" s="205"/>
      <c r="C19" s="205"/>
      <c r="D19" s="16"/>
      <c r="E19" s="17" t="s">
        <v>215</v>
      </c>
      <c r="F19" s="18" t="s">
        <v>216</v>
      </c>
      <c r="G19" s="18" t="s">
        <v>180</v>
      </c>
      <c r="H19" s="18" t="s">
        <v>217</v>
      </c>
      <c r="I19" s="19" t="s">
        <v>218</v>
      </c>
      <c r="J19" s="31" t="s">
        <v>219</v>
      </c>
      <c r="K19" s="18" t="s">
        <v>51</v>
      </c>
      <c r="L19" s="18">
        <v>1</v>
      </c>
      <c r="M19" s="18" t="s">
        <v>220</v>
      </c>
      <c r="N19" s="18" t="s">
        <v>221</v>
      </c>
      <c r="O19" s="18" t="s">
        <v>222</v>
      </c>
      <c r="P19" s="18" t="s">
        <v>223</v>
      </c>
      <c r="Q19" s="18" t="s">
        <v>224</v>
      </c>
      <c r="R19" s="18" t="s">
        <v>225</v>
      </c>
      <c r="S19" s="18" t="s">
        <v>226</v>
      </c>
      <c r="T19" s="18"/>
      <c r="U19" s="21" t="s">
        <v>43</v>
      </c>
      <c r="V19" s="18"/>
      <c r="W19" s="18"/>
      <c r="X19" s="18"/>
      <c r="Y19" s="18"/>
      <c r="Z19" s="202" t="s">
        <v>227</v>
      </c>
      <c r="AA19" s="186"/>
      <c r="AB19" s="186"/>
      <c r="AC19" s="186"/>
      <c r="AD19" s="186"/>
      <c r="AE19" s="188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</row>
    <row r="20" spans="1:54" ht="21" customHeight="1" x14ac:dyDescent="0.3">
      <c r="A20" s="1">
        <v>16</v>
      </c>
      <c r="B20" s="203" t="str">
        <f>"E2                      ("&amp;COUNTA(E20:E30)&amp;")"</f>
        <v>E2                      (11)</v>
      </c>
      <c r="C20" s="206" t="s">
        <v>228</v>
      </c>
      <c r="D20" s="16"/>
      <c r="E20" s="17" t="s">
        <v>229</v>
      </c>
      <c r="F20" s="18" t="s">
        <v>230</v>
      </c>
      <c r="G20" s="18" t="s">
        <v>231</v>
      </c>
      <c r="H20" s="18" t="s">
        <v>232</v>
      </c>
      <c r="I20" s="19" t="s">
        <v>233</v>
      </c>
      <c r="J20" s="20" t="s">
        <v>234</v>
      </c>
      <c r="K20" s="18" t="s">
        <v>34</v>
      </c>
      <c r="L20" s="18">
        <v>2</v>
      </c>
      <c r="M20" s="18" t="s">
        <v>235</v>
      </c>
      <c r="N20" s="18" t="s">
        <v>236</v>
      </c>
      <c r="O20" s="18" t="s">
        <v>237</v>
      </c>
      <c r="P20" s="18" t="s">
        <v>238</v>
      </c>
      <c r="Q20" s="18"/>
      <c r="R20" s="18" t="s">
        <v>239</v>
      </c>
      <c r="S20" s="18" t="s">
        <v>240</v>
      </c>
      <c r="T20" s="18"/>
      <c r="U20" s="21" t="s">
        <v>241</v>
      </c>
      <c r="V20" s="18"/>
      <c r="W20" s="18"/>
      <c r="X20" s="18"/>
      <c r="Y20" s="18"/>
      <c r="Z20" s="202" t="s">
        <v>242</v>
      </c>
      <c r="AA20" s="186"/>
      <c r="AB20" s="186"/>
      <c r="AC20" s="186"/>
      <c r="AD20" s="186"/>
      <c r="AE20" s="188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</row>
    <row r="21" spans="1:54" ht="21" customHeight="1" x14ac:dyDescent="0.3">
      <c r="A21" s="1">
        <v>17</v>
      </c>
      <c r="B21" s="204"/>
      <c r="C21" s="204"/>
      <c r="D21" s="16"/>
      <c r="E21" s="17" t="s">
        <v>243</v>
      </c>
      <c r="F21" s="18" t="s">
        <v>244</v>
      </c>
      <c r="G21" s="18" t="s">
        <v>245</v>
      </c>
      <c r="H21" s="18" t="s">
        <v>246</v>
      </c>
      <c r="I21" s="19" t="s">
        <v>247</v>
      </c>
      <c r="J21" s="20" t="s">
        <v>248</v>
      </c>
      <c r="K21" s="18" t="s">
        <v>34</v>
      </c>
      <c r="L21" s="18">
        <v>2</v>
      </c>
      <c r="M21" s="18" t="s">
        <v>249</v>
      </c>
      <c r="N21" s="18" t="s">
        <v>250</v>
      </c>
      <c r="O21" s="18" t="s">
        <v>251</v>
      </c>
      <c r="P21" s="18" t="s">
        <v>252</v>
      </c>
      <c r="Q21" s="18"/>
      <c r="R21" s="18" t="s">
        <v>253</v>
      </c>
      <c r="S21" s="18" t="s">
        <v>254</v>
      </c>
      <c r="T21" s="18"/>
      <c r="U21" s="21" t="s">
        <v>255</v>
      </c>
      <c r="V21" s="18"/>
      <c r="W21" s="18"/>
      <c r="X21" s="18"/>
      <c r="Y21" s="18"/>
      <c r="Z21" s="202" t="s">
        <v>256</v>
      </c>
      <c r="AA21" s="186"/>
      <c r="AB21" s="186"/>
      <c r="AC21" s="186"/>
      <c r="AD21" s="186"/>
      <c r="AE21" s="188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</row>
    <row r="22" spans="1:54" ht="21" customHeight="1" x14ac:dyDescent="0.3">
      <c r="A22" s="1">
        <v>18</v>
      </c>
      <c r="B22" s="204"/>
      <c r="C22" s="204"/>
      <c r="D22" s="16"/>
      <c r="E22" s="24" t="s">
        <v>257</v>
      </c>
      <c r="F22" s="18" t="s">
        <v>258</v>
      </c>
      <c r="G22" s="18" t="s">
        <v>259</v>
      </c>
      <c r="H22" s="18" t="s">
        <v>260</v>
      </c>
      <c r="I22" s="19" t="s">
        <v>156</v>
      </c>
      <c r="J22" s="20" t="s">
        <v>157</v>
      </c>
      <c r="K22" s="18" t="s">
        <v>51</v>
      </c>
      <c r="L22" s="18">
        <v>2</v>
      </c>
      <c r="M22" s="18" t="s">
        <v>261</v>
      </c>
      <c r="N22" s="18" t="s">
        <v>159</v>
      </c>
      <c r="O22" s="18" t="s">
        <v>160</v>
      </c>
      <c r="P22" s="18" t="s">
        <v>161</v>
      </c>
      <c r="Q22" s="18"/>
      <c r="R22" s="18" t="s">
        <v>162</v>
      </c>
      <c r="S22" s="18" t="s">
        <v>163</v>
      </c>
      <c r="T22" s="18"/>
      <c r="U22" s="21" t="s">
        <v>164</v>
      </c>
      <c r="V22" s="18"/>
      <c r="W22" s="18"/>
      <c r="X22" s="18"/>
      <c r="Y22" s="18"/>
      <c r="Z22" s="202" t="s">
        <v>165</v>
      </c>
      <c r="AA22" s="186"/>
      <c r="AB22" s="186"/>
      <c r="AC22" s="186"/>
      <c r="AD22" s="186"/>
      <c r="AE22" s="188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</row>
    <row r="23" spans="1:54" ht="21" customHeight="1" x14ac:dyDescent="0.3">
      <c r="A23" s="1">
        <v>19</v>
      </c>
      <c r="B23" s="204"/>
      <c r="C23" s="204"/>
      <c r="D23" s="16"/>
      <c r="E23" s="24" t="s">
        <v>262</v>
      </c>
      <c r="F23" s="18" t="s">
        <v>263</v>
      </c>
      <c r="G23" s="18" t="s">
        <v>264</v>
      </c>
      <c r="H23" s="18" t="s">
        <v>265</v>
      </c>
      <c r="I23" s="19" t="s">
        <v>130</v>
      </c>
      <c r="J23" s="31" t="s">
        <v>266</v>
      </c>
      <c r="K23" s="18" t="s">
        <v>51</v>
      </c>
      <c r="L23" s="18">
        <v>2</v>
      </c>
      <c r="M23" s="18" t="s">
        <v>267</v>
      </c>
      <c r="N23" s="18"/>
      <c r="O23" s="18" t="s">
        <v>268</v>
      </c>
      <c r="P23" s="18" t="s">
        <v>269</v>
      </c>
      <c r="Q23" s="18"/>
      <c r="R23" s="18"/>
      <c r="S23" s="18" t="s">
        <v>270</v>
      </c>
      <c r="T23" s="18"/>
      <c r="U23" s="21" t="s">
        <v>271</v>
      </c>
      <c r="V23" s="18"/>
      <c r="W23" s="18"/>
      <c r="X23" s="18"/>
      <c r="Y23" s="18"/>
      <c r="Z23" s="202" t="s">
        <v>272</v>
      </c>
      <c r="AA23" s="186"/>
      <c r="AB23" s="186"/>
      <c r="AC23" s="186"/>
      <c r="AD23" s="186"/>
      <c r="AE23" s="188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</row>
    <row r="24" spans="1:54" ht="21" customHeight="1" x14ac:dyDescent="0.3">
      <c r="A24" s="1">
        <v>20</v>
      </c>
      <c r="B24" s="204"/>
      <c r="C24" s="204"/>
      <c r="D24" s="16"/>
      <c r="E24" s="24" t="s">
        <v>273</v>
      </c>
      <c r="F24" s="18" t="s">
        <v>274</v>
      </c>
      <c r="G24" s="18" t="s">
        <v>275</v>
      </c>
      <c r="H24" s="18" t="s">
        <v>276</v>
      </c>
      <c r="I24" s="19" t="s">
        <v>277</v>
      </c>
      <c r="J24" s="20" t="s">
        <v>278</v>
      </c>
      <c r="K24" s="18" t="s">
        <v>51</v>
      </c>
      <c r="L24" s="18">
        <v>2</v>
      </c>
      <c r="M24" s="18" t="s">
        <v>279</v>
      </c>
      <c r="N24" s="18" t="s">
        <v>280</v>
      </c>
      <c r="O24" s="18" t="s">
        <v>281</v>
      </c>
      <c r="P24" s="18" t="s">
        <v>282</v>
      </c>
      <c r="Q24" s="18"/>
      <c r="R24" s="18" t="s">
        <v>283</v>
      </c>
      <c r="S24" s="18" t="s">
        <v>284</v>
      </c>
      <c r="T24" s="18"/>
      <c r="U24" s="21" t="s">
        <v>43</v>
      </c>
      <c r="V24" s="18"/>
      <c r="W24" s="18"/>
      <c r="X24" s="18"/>
      <c r="Y24" s="18"/>
      <c r="Z24" s="202" t="s">
        <v>285</v>
      </c>
      <c r="AA24" s="186"/>
      <c r="AB24" s="186"/>
      <c r="AC24" s="186"/>
      <c r="AD24" s="186"/>
      <c r="AE24" s="188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</row>
    <row r="25" spans="1:54" ht="21" customHeight="1" x14ac:dyDescent="0.3">
      <c r="A25" s="1">
        <v>21</v>
      </c>
      <c r="B25" s="204"/>
      <c r="C25" s="204"/>
      <c r="D25" s="16"/>
      <c r="E25" s="17" t="s">
        <v>286</v>
      </c>
      <c r="F25" s="18" t="s">
        <v>287</v>
      </c>
      <c r="G25" s="18" t="s">
        <v>288</v>
      </c>
      <c r="H25" s="18" t="s">
        <v>289</v>
      </c>
      <c r="I25" s="19" t="s">
        <v>290</v>
      </c>
      <c r="J25" s="20" t="s">
        <v>291</v>
      </c>
      <c r="K25" s="18" t="s">
        <v>34</v>
      </c>
      <c r="L25" s="18">
        <v>2</v>
      </c>
      <c r="M25" s="18" t="s">
        <v>292</v>
      </c>
      <c r="N25" s="18" t="s">
        <v>293</v>
      </c>
      <c r="O25" s="18" t="s">
        <v>294</v>
      </c>
      <c r="P25" s="18" t="s">
        <v>295</v>
      </c>
      <c r="Q25" s="18"/>
      <c r="R25" s="18" t="s">
        <v>296</v>
      </c>
      <c r="S25" s="18" t="s">
        <v>297</v>
      </c>
      <c r="T25" s="18"/>
      <c r="U25" s="21" t="s">
        <v>58</v>
      </c>
      <c r="V25" s="18"/>
      <c r="W25" s="18"/>
      <c r="X25" s="18"/>
      <c r="Y25" s="18"/>
      <c r="Z25" s="202" t="s">
        <v>177</v>
      </c>
      <c r="AA25" s="186"/>
      <c r="AB25" s="186"/>
      <c r="AC25" s="186"/>
      <c r="AD25" s="186"/>
      <c r="AE25" s="188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</row>
    <row r="26" spans="1:54" ht="21" customHeight="1" x14ac:dyDescent="0.3">
      <c r="A26" s="1">
        <v>22</v>
      </c>
      <c r="B26" s="204"/>
      <c r="C26" s="204"/>
      <c r="D26" s="16"/>
      <c r="E26" s="17" t="s">
        <v>298</v>
      </c>
      <c r="F26" s="18" t="s">
        <v>299</v>
      </c>
      <c r="G26" s="18" t="s">
        <v>300</v>
      </c>
      <c r="H26" s="18" t="s">
        <v>301</v>
      </c>
      <c r="I26" s="19" t="s">
        <v>302</v>
      </c>
      <c r="J26" s="20" t="s">
        <v>303</v>
      </c>
      <c r="K26" s="18" t="s">
        <v>51</v>
      </c>
      <c r="L26" s="18">
        <v>2</v>
      </c>
      <c r="M26" s="18" t="s">
        <v>304</v>
      </c>
      <c r="N26" s="18" t="s">
        <v>305</v>
      </c>
      <c r="O26" s="18" t="s">
        <v>306</v>
      </c>
      <c r="P26" s="18" t="s">
        <v>307</v>
      </c>
      <c r="Q26" s="18"/>
      <c r="R26" s="18" t="s">
        <v>308</v>
      </c>
      <c r="S26" s="18" t="s">
        <v>309</v>
      </c>
      <c r="T26" s="18" t="s">
        <v>310</v>
      </c>
      <c r="U26" s="21" t="s">
        <v>311</v>
      </c>
      <c r="V26" s="18"/>
      <c r="W26" s="18"/>
      <c r="X26" s="18"/>
      <c r="Y26" s="18"/>
      <c r="Z26" s="202" t="s">
        <v>312</v>
      </c>
      <c r="AA26" s="186"/>
      <c r="AB26" s="186"/>
      <c r="AC26" s="186"/>
      <c r="AD26" s="186"/>
      <c r="AE26" s="188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</row>
    <row r="27" spans="1:54" ht="21" customHeight="1" x14ac:dyDescent="0.3">
      <c r="A27" s="1">
        <v>23</v>
      </c>
      <c r="B27" s="204"/>
      <c r="C27" s="204"/>
      <c r="D27" s="25" t="s">
        <v>97</v>
      </c>
      <c r="E27" s="17" t="s">
        <v>313</v>
      </c>
      <c r="F27" s="17" t="s">
        <v>314</v>
      </c>
      <c r="G27" s="17" t="s">
        <v>315</v>
      </c>
      <c r="H27" s="17" t="s">
        <v>316</v>
      </c>
      <c r="I27" s="26" t="s">
        <v>317</v>
      </c>
      <c r="J27" s="17" t="s">
        <v>318</v>
      </c>
      <c r="K27" s="17" t="s">
        <v>51</v>
      </c>
      <c r="L27" s="17">
        <v>2</v>
      </c>
      <c r="M27" s="17" t="s">
        <v>319</v>
      </c>
      <c r="N27" s="17" t="s">
        <v>320</v>
      </c>
      <c r="O27" s="17" t="s">
        <v>321</v>
      </c>
      <c r="P27" s="17" t="s">
        <v>322</v>
      </c>
      <c r="Q27" s="17"/>
      <c r="R27" s="17" t="s">
        <v>323</v>
      </c>
      <c r="S27" s="17" t="s">
        <v>324</v>
      </c>
      <c r="T27" s="17"/>
      <c r="U27" s="30" t="s">
        <v>110</v>
      </c>
      <c r="V27" s="17"/>
      <c r="W27" s="17"/>
      <c r="X27" s="17"/>
      <c r="Y27" s="17"/>
      <c r="Z27" s="195" t="s">
        <v>325</v>
      </c>
      <c r="AA27" s="186"/>
      <c r="AB27" s="186"/>
      <c r="AC27" s="186"/>
      <c r="AD27" s="186"/>
      <c r="AE27" s="188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</row>
    <row r="28" spans="1:54" ht="21" customHeight="1" x14ac:dyDescent="0.3">
      <c r="A28" s="1">
        <v>24</v>
      </c>
      <c r="B28" s="204"/>
      <c r="C28" s="204"/>
      <c r="D28" s="25" t="s">
        <v>97</v>
      </c>
      <c r="E28" s="17" t="s">
        <v>326</v>
      </c>
      <c r="F28" s="17" t="s">
        <v>327</v>
      </c>
      <c r="G28" s="17" t="s">
        <v>328</v>
      </c>
      <c r="H28" s="17" t="s">
        <v>329</v>
      </c>
      <c r="I28" s="26" t="s">
        <v>330</v>
      </c>
      <c r="J28" s="17" t="s">
        <v>331</v>
      </c>
      <c r="K28" s="17" t="s">
        <v>34</v>
      </c>
      <c r="L28" s="17">
        <v>2</v>
      </c>
      <c r="M28" s="17" t="s">
        <v>332</v>
      </c>
      <c r="N28" s="17" t="s">
        <v>333</v>
      </c>
      <c r="O28" s="17" t="s">
        <v>334</v>
      </c>
      <c r="P28" s="17" t="s">
        <v>335</v>
      </c>
      <c r="Q28" s="17"/>
      <c r="R28" s="17" t="s">
        <v>336</v>
      </c>
      <c r="S28" s="32" t="s">
        <v>337</v>
      </c>
      <c r="T28" s="17"/>
      <c r="U28" s="30" t="s">
        <v>110</v>
      </c>
      <c r="V28" s="17"/>
      <c r="W28" s="17"/>
      <c r="X28" s="17"/>
      <c r="Y28" s="17"/>
      <c r="Z28" s="195" t="s">
        <v>338</v>
      </c>
      <c r="AA28" s="186"/>
      <c r="AB28" s="186"/>
      <c r="AC28" s="186"/>
      <c r="AD28" s="186"/>
      <c r="AE28" s="188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</row>
    <row r="29" spans="1:54" ht="21" customHeight="1" x14ac:dyDescent="0.3">
      <c r="A29" s="1">
        <v>25</v>
      </c>
      <c r="B29" s="204"/>
      <c r="C29" s="204"/>
      <c r="D29" s="33" t="s">
        <v>97</v>
      </c>
      <c r="E29" s="24" t="s">
        <v>339</v>
      </c>
      <c r="F29" s="17" t="s">
        <v>340</v>
      </c>
      <c r="G29" s="17" t="s">
        <v>341</v>
      </c>
      <c r="H29" s="17" t="s">
        <v>342</v>
      </c>
      <c r="I29" s="26" t="s">
        <v>32</v>
      </c>
      <c r="J29" s="17" t="s">
        <v>343</v>
      </c>
      <c r="K29" s="17" t="s">
        <v>51</v>
      </c>
      <c r="L29" s="17">
        <v>2</v>
      </c>
      <c r="M29" s="17" t="s">
        <v>344</v>
      </c>
      <c r="N29" s="17" t="s">
        <v>37</v>
      </c>
      <c r="O29" s="17" t="s">
        <v>38</v>
      </c>
      <c r="P29" s="17" t="s">
        <v>39</v>
      </c>
      <c r="Q29" s="34"/>
      <c r="R29" s="17" t="s">
        <v>41</v>
      </c>
      <c r="S29" s="17" t="s">
        <v>42</v>
      </c>
      <c r="T29" s="34"/>
      <c r="U29" s="30" t="s">
        <v>345</v>
      </c>
      <c r="V29" s="34"/>
      <c r="W29" s="34"/>
      <c r="X29" s="34"/>
      <c r="Y29" s="34"/>
      <c r="Z29" s="195" t="s">
        <v>346</v>
      </c>
      <c r="AA29" s="186"/>
      <c r="AB29" s="186"/>
      <c r="AC29" s="186"/>
      <c r="AD29" s="186"/>
      <c r="AE29" s="188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</row>
    <row r="30" spans="1:54" ht="21" customHeight="1" x14ac:dyDescent="0.3">
      <c r="A30" s="1">
        <v>26</v>
      </c>
      <c r="B30" s="205"/>
      <c r="C30" s="205"/>
      <c r="D30" s="16"/>
      <c r="E30" s="24" t="s">
        <v>347</v>
      </c>
      <c r="F30" s="18" t="s">
        <v>348</v>
      </c>
      <c r="G30" s="18" t="s">
        <v>349</v>
      </c>
      <c r="H30" s="18" t="s">
        <v>350</v>
      </c>
      <c r="I30" s="19" t="s">
        <v>351</v>
      </c>
      <c r="J30" s="20" t="s">
        <v>352</v>
      </c>
      <c r="K30" s="18" t="s">
        <v>34</v>
      </c>
      <c r="L30" s="18">
        <v>2</v>
      </c>
      <c r="M30" s="18" t="s">
        <v>353</v>
      </c>
      <c r="N30" s="18" t="s">
        <v>354</v>
      </c>
      <c r="O30" s="18" t="s">
        <v>355</v>
      </c>
      <c r="P30" s="18" t="s">
        <v>356</v>
      </c>
      <c r="Q30" s="18"/>
      <c r="R30" s="18" t="s">
        <v>357</v>
      </c>
      <c r="S30" s="18" t="s">
        <v>358</v>
      </c>
      <c r="T30" s="18"/>
      <c r="U30" s="21" t="s">
        <v>359</v>
      </c>
      <c r="V30" s="18"/>
      <c r="W30" s="18"/>
      <c r="X30" s="18"/>
      <c r="Y30" s="18"/>
      <c r="Z30" s="202" t="s">
        <v>360</v>
      </c>
      <c r="AA30" s="186"/>
      <c r="AB30" s="186"/>
      <c r="AC30" s="186"/>
      <c r="AD30" s="186"/>
      <c r="AE30" s="188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</row>
    <row r="31" spans="1:54" ht="21" customHeight="1" x14ac:dyDescent="0.3">
      <c r="A31" s="1">
        <v>27</v>
      </c>
      <c r="B31" s="203" t="str">
        <f>"E3                      ("&amp;COUNTA(E31:E42)&amp;")"</f>
        <v>E3                      (12)</v>
      </c>
      <c r="C31" s="206" t="s">
        <v>361</v>
      </c>
      <c r="D31" s="16"/>
      <c r="E31" s="17" t="s">
        <v>362</v>
      </c>
      <c r="F31" s="18" t="s">
        <v>363</v>
      </c>
      <c r="G31" s="18" t="s">
        <v>364</v>
      </c>
      <c r="H31" s="18" t="s">
        <v>365</v>
      </c>
      <c r="I31" s="19" t="s">
        <v>64</v>
      </c>
      <c r="J31" s="20" t="s">
        <v>366</v>
      </c>
      <c r="K31" s="18" t="s">
        <v>51</v>
      </c>
      <c r="L31" s="18">
        <v>3</v>
      </c>
      <c r="M31" s="18" t="s">
        <v>367</v>
      </c>
      <c r="N31" s="18" t="s">
        <v>67</v>
      </c>
      <c r="O31" s="18" t="s">
        <v>68</v>
      </c>
      <c r="P31" s="18" t="s">
        <v>368</v>
      </c>
      <c r="Q31" s="18"/>
      <c r="R31" s="18" t="s">
        <v>70</v>
      </c>
      <c r="S31" s="18" t="s">
        <v>70</v>
      </c>
      <c r="T31" s="18"/>
      <c r="U31" s="21" t="s">
        <v>369</v>
      </c>
      <c r="V31" s="18"/>
      <c r="W31" s="18"/>
      <c r="X31" s="18"/>
      <c r="Y31" s="18"/>
      <c r="Z31" s="202" t="s">
        <v>370</v>
      </c>
      <c r="AA31" s="186"/>
      <c r="AB31" s="186"/>
      <c r="AC31" s="186"/>
      <c r="AD31" s="186"/>
      <c r="AE31" s="188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</row>
    <row r="32" spans="1:54" ht="21" customHeight="1" x14ac:dyDescent="0.3">
      <c r="A32" s="1">
        <v>28</v>
      </c>
      <c r="B32" s="204"/>
      <c r="C32" s="204"/>
      <c r="D32" s="16"/>
      <c r="E32" s="17" t="s">
        <v>371</v>
      </c>
      <c r="F32" s="18" t="s">
        <v>372</v>
      </c>
      <c r="G32" s="18" t="s">
        <v>373</v>
      </c>
      <c r="H32" s="18" t="s">
        <v>374</v>
      </c>
      <c r="I32" s="19" t="s">
        <v>375</v>
      </c>
      <c r="J32" s="20" t="s">
        <v>376</v>
      </c>
      <c r="K32" s="18" t="s">
        <v>34</v>
      </c>
      <c r="L32" s="18">
        <v>3</v>
      </c>
      <c r="M32" s="18" t="s">
        <v>377</v>
      </c>
      <c r="N32" s="18" t="s">
        <v>378</v>
      </c>
      <c r="O32" s="18" t="s">
        <v>379</v>
      </c>
      <c r="P32" s="18" t="s">
        <v>380</v>
      </c>
      <c r="Q32" s="18"/>
      <c r="R32" s="18" t="s">
        <v>381</v>
      </c>
      <c r="S32" s="18" t="s">
        <v>382</v>
      </c>
      <c r="T32" s="18"/>
      <c r="U32" s="21" t="s">
        <v>383</v>
      </c>
      <c r="V32" s="18"/>
      <c r="W32" s="18" t="s">
        <v>384</v>
      </c>
      <c r="X32" s="18"/>
      <c r="Y32" s="18"/>
      <c r="Z32" s="202" t="s">
        <v>385</v>
      </c>
      <c r="AA32" s="186"/>
      <c r="AB32" s="186"/>
      <c r="AC32" s="186"/>
      <c r="AD32" s="186"/>
      <c r="AE32" s="188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</row>
    <row r="33" spans="1:54" ht="21" customHeight="1" x14ac:dyDescent="0.3">
      <c r="A33" s="1">
        <v>29</v>
      </c>
      <c r="B33" s="204"/>
      <c r="C33" s="204"/>
      <c r="D33" s="16"/>
      <c r="E33" s="17" t="s">
        <v>386</v>
      </c>
      <c r="F33" s="18" t="s">
        <v>387</v>
      </c>
      <c r="G33" s="18" t="s">
        <v>388</v>
      </c>
      <c r="H33" s="18" t="s">
        <v>389</v>
      </c>
      <c r="I33" s="19" t="s">
        <v>390</v>
      </c>
      <c r="J33" s="20" t="s">
        <v>391</v>
      </c>
      <c r="K33" s="18" t="s">
        <v>34</v>
      </c>
      <c r="L33" s="18">
        <v>3</v>
      </c>
      <c r="M33" s="18" t="s">
        <v>392</v>
      </c>
      <c r="N33" s="18" t="s">
        <v>393</v>
      </c>
      <c r="O33" s="18" t="s">
        <v>394</v>
      </c>
      <c r="P33" s="18" t="s">
        <v>395</v>
      </c>
      <c r="Q33" s="18"/>
      <c r="R33" s="18" t="s">
        <v>396</v>
      </c>
      <c r="S33" s="18" t="s">
        <v>397</v>
      </c>
      <c r="T33" s="18" t="s">
        <v>398</v>
      </c>
      <c r="U33" s="21" t="s">
        <v>399</v>
      </c>
      <c r="V33" s="18"/>
      <c r="W33" s="18" t="s">
        <v>400</v>
      </c>
      <c r="X33" s="18"/>
      <c r="Y33" s="18"/>
      <c r="Z33" s="202" t="s">
        <v>401</v>
      </c>
      <c r="AA33" s="186"/>
      <c r="AB33" s="186"/>
      <c r="AC33" s="186"/>
      <c r="AD33" s="186"/>
      <c r="AE33" s="188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</row>
    <row r="34" spans="1:54" ht="21" customHeight="1" x14ac:dyDescent="0.3">
      <c r="A34" s="1">
        <v>30</v>
      </c>
      <c r="B34" s="204"/>
      <c r="C34" s="204"/>
      <c r="D34" s="16"/>
      <c r="E34" s="17" t="s">
        <v>402</v>
      </c>
      <c r="F34" s="18" t="s">
        <v>403</v>
      </c>
      <c r="G34" s="18" t="s">
        <v>404</v>
      </c>
      <c r="H34" s="18" t="s">
        <v>405</v>
      </c>
      <c r="I34" s="19" t="s">
        <v>406</v>
      </c>
      <c r="J34" s="20" t="s">
        <v>407</v>
      </c>
      <c r="K34" s="18" t="s">
        <v>34</v>
      </c>
      <c r="L34" s="18">
        <v>3</v>
      </c>
      <c r="M34" s="18" t="s">
        <v>408</v>
      </c>
      <c r="N34" s="18" t="s">
        <v>409</v>
      </c>
      <c r="O34" s="18" t="s">
        <v>410</v>
      </c>
      <c r="P34" s="18" t="s">
        <v>411</v>
      </c>
      <c r="Q34" s="18" t="s">
        <v>412</v>
      </c>
      <c r="R34" s="18" t="s">
        <v>413</v>
      </c>
      <c r="S34" s="18" t="s">
        <v>414</v>
      </c>
      <c r="T34" s="18" t="s">
        <v>415</v>
      </c>
      <c r="U34" s="21" t="s">
        <v>416</v>
      </c>
      <c r="V34" s="18"/>
      <c r="W34" s="18"/>
      <c r="X34" s="18"/>
      <c r="Y34" s="18"/>
      <c r="Z34" s="202" t="s">
        <v>417</v>
      </c>
      <c r="AA34" s="186"/>
      <c r="AB34" s="186"/>
      <c r="AC34" s="186"/>
      <c r="AD34" s="186"/>
      <c r="AE34" s="188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</row>
    <row r="35" spans="1:54" ht="21" customHeight="1" x14ac:dyDescent="0.3">
      <c r="A35" s="1">
        <v>31</v>
      </c>
      <c r="B35" s="204"/>
      <c r="C35" s="204"/>
      <c r="D35" s="16"/>
      <c r="E35" s="17" t="s">
        <v>418</v>
      </c>
      <c r="F35" s="18" t="s">
        <v>419</v>
      </c>
      <c r="G35" s="18" t="s">
        <v>420</v>
      </c>
      <c r="H35" s="18" t="s">
        <v>421</v>
      </c>
      <c r="I35" s="19" t="s">
        <v>218</v>
      </c>
      <c r="J35" s="31" t="s">
        <v>219</v>
      </c>
      <c r="K35" s="18" t="s">
        <v>51</v>
      </c>
      <c r="L35" s="18">
        <v>3</v>
      </c>
      <c r="M35" s="18" t="s">
        <v>422</v>
      </c>
      <c r="N35" s="18" t="s">
        <v>221</v>
      </c>
      <c r="O35" s="18" t="s">
        <v>222</v>
      </c>
      <c r="P35" s="18" t="s">
        <v>223</v>
      </c>
      <c r="Q35" s="18" t="s">
        <v>423</v>
      </c>
      <c r="R35" s="18" t="s">
        <v>225</v>
      </c>
      <c r="S35" s="18" t="s">
        <v>226</v>
      </c>
      <c r="T35" s="18" t="s">
        <v>415</v>
      </c>
      <c r="U35" s="21" t="s">
        <v>424</v>
      </c>
      <c r="V35" s="18"/>
      <c r="W35" s="18"/>
      <c r="X35" s="18"/>
      <c r="Y35" s="18"/>
      <c r="Z35" s="202" t="s">
        <v>425</v>
      </c>
      <c r="AA35" s="186"/>
      <c r="AB35" s="186"/>
      <c r="AC35" s="186"/>
      <c r="AD35" s="186"/>
      <c r="AE35" s="188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</row>
    <row r="36" spans="1:54" ht="21" customHeight="1" x14ac:dyDescent="0.3">
      <c r="A36" s="1">
        <v>32</v>
      </c>
      <c r="B36" s="204"/>
      <c r="C36" s="204"/>
      <c r="D36" s="16"/>
      <c r="E36" s="17" t="s">
        <v>426</v>
      </c>
      <c r="F36" s="18" t="s">
        <v>427</v>
      </c>
      <c r="G36" s="18" t="s">
        <v>428</v>
      </c>
      <c r="H36" s="18" t="s">
        <v>429</v>
      </c>
      <c r="I36" s="19" t="s">
        <v>430</v>
      </c>
      <c r="J36" s="20" t="s">
        <v>431</v>
      </c>
      <c r="K36" s="18" t="s">
        <v>51</v>
      </c>
      <c r="L36" s="18">
        <v>3</v>
      </c>
      <c r="M36" s="18" t="s">
        <v>432</v>
      </c>
      <c r="N36" s="18" t="s">
        <v>433</v>
      </c>
      <c r="O36" s="18" t="s">
        <v>434</v>
      </c>
      <c r="P36" s="18" t="s">
        <v>435</v>
      </c>
      <c r="Q36" s="18"/>
      <c r="R36" s="18" t="s">
        <v>436</v>
      </c>
      <c r="S36" s="18" t="s">
        <v>437</v>
      </c>
      <c r="T36" s="18"/>
      <c r="U36" s="21" t="s">
        <v>241</v>
      </c>
      <c r="V36" s="18"/>
      <c r="W36" s="18"/>
      <c r="X36" s="18"/>
      <c r="Y36" s="18"/>
      <c r="Z36" s="202" t="s">
        <v>438</v>
      </c>
      <c r="AA36" s="186"/>
      <c r="AB36" s="186"/>
      <c r="AC36" s="186"/>
      <c r="AD36" s="186"/>
      <c r="AE36" s="188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</row>
    <row r="37" spans="1:54" ht="21" customHeight="1" x14ac:dyDescent="0.3">
      <c r="A37" s="1">
        <v>33</v>
      </c>
      <c r="B37" s="204"/>
      <c r="C37" s="204"/>
      <c r="D37" s="16"/>
      <c r="E37" s="17" t="s">
        <v>439</v>
      </c>
      <c r="F37" s="18" t="s">
        <v>440</v>
      </c>
      <c r="G37" s="18" t="s">
        <v>441</v>
      </c>
      <c r="H37" s="18" t="s">
        <v>442</v>
      </c>
      <c r="I37" s="19" t="s">
        <v>443</v>
      </c>
      <c r="J37" s="20" t="s">
        <v>444</v>
      </c>
      <c r="K37" s="18" t="s">
        <v>34</v>
      </c>
      <c r="L37" s="18">
        <v>3</v>
      </c>
      <c r="M37" s="18" t="s">
        <v>445</v>
      </c>
      <c r="N37" s="18" t="s">
        <v>446</v>
      </c>
      <c r="O37" s="18" t="s">
        <v>447</v>
      </c>
      <c r="P37" s="18" t="s">
        <v>448</v>
      </c>
      <c r="Q37" s="18"/>
      <c r="R37" s="18" t="s">
        <v>449</v>
      </c>
      <c r="S37" s="18" t="s">
        <v>450</v>
      </c>
      <c r="T37" s="18"/>
      <c r="U37" s="21" t="s">
        <v>424</v>
      </c>
      <c r="V37" s="18"/>
      <c r="W37" s="18"/>
      <c r="X37" s="18"/>
      <c r="Y37" s="18"/>
      <c r="Z37" s="202" t="s">
        <v>451</v>
      </c>
      <c r="AA37" s="186"/>
      <c r="AB37" s="186"/>
      <c r="AC37" s="186"/>
      <c r="AD37" s="186"/>
      <c r="AE37" s="188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</row>
    <row r="38" spans="1:54" ht="21" customHeight="1" x14ac:dyDescent="0.3">
      <c r="A38" s="1">
        <v>34</v>
      </c>
      <c r="B38" s="204"/>
      <c r="C38" s="204"/>
      <c r="D38" s="16"/>
      <c r="E38" s="17" t="s">
        <v>452</v>
      </c>
      <c r="F38" s="18" t="s">
        <v>453</v>
      </c>
      <c r="G38" s="18" t="s">
        <v>454</v>
      </c>
      <c r="H38" s="18" t="s">
        <v>455</v>
      </c>
      <c r="I38" s="19" t="s">
        <v>456</v>
      </c>
      <c r="J38" s="31" t="s">
        <v>457</v>
      </c>
      <c r="K38" s="18" t="s">
        <v>51</v>
      </c>
      <c r="L38" s="18">
        <v>3</v>
      </c>
      <c r="M38" s="18" t="s">
        <v>458</v>
      </c>
      <c r="N38" s="18" t="s">
        <v>459</v>
      </c>
      <c r="O38" s="18" t="s">
        <v>460</v>
      </c>
      <c r="P38" s="18" t="s">
        <v>461</v>
      </c>
      <c r="Q38" s="18"/>
      <c r="R38" s="18" t="s">
        <v>462</v>
      </c>
      <c r="S38" s="18" t="s">
        <v>463</v>
      </c>
      <c r="T38" s="18" t="s">
        <v>415</v>
      </c>
      <c r="U38" s="21" t="s">
        <v>424</v>
      </c>
      <c r="V38" s="18"/>
      <c r="W38" s="18"/>
      <c r="X38" s="18"/>
      <c r="Y38" s="18"/>
      <c r="Z38" s="202" t="s">
        <v>464</v>
      </c>
      <c r="AA38" s="186"/>
      <c r="AB38" s="186"/>
      <c r="AC38" s="186"/>
      <c r="AD38" s="186"/>
      <c r="AE38" s="188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</row>
    <row r="39" spans="1:54" ht="21" customHeight="1" x14ac:dyDescent="0.3">
      <c r="A39" s="1">
        <v>35</v>
      </c>
      <c r="B39" s="204"/>
      <c r="C39" s="204"/>
      <c r="D39" s="33" t="s">
        <v>97</v>
      </c>
      <c r="E39" s="17" t="s">
        <v>465</v>
      </c>
      <c r="F39" s="17" t="s">
        <v>466</v>
      </c>
      <c r="G39" s="17" t="s">
        <v>467</v>
      </c>
      <c r="H39" s="17" t="s">
        <v>468</v>
      </c>
      <c r="I39" s="26" t="s">
        <v>469</v>
      </c>
      <c r="J39" s="17" t="s">
        <v>470</v>
      </c>
      <c r="K39" s="17" t="s">
        <v>51</v>
      </c>
      <c r="L39" s="17">
        <v>3</v>
      </c>
      <c r="M39" s="17" t="s">
        <v>471</v>
      </c>
      <c r="N39" s="17" t="s">
        <v>472</v>
      </c>
      <c r="O39" s="17" t="s">
        <v>473</v>
      </c>
      <c r="P39" s="17" t="s">
        <v>474</v>
      </c>
      <c r="Q39" s="17"/>
      <c r="R39" s="17" t="s">
        <v>475</v>
      </c>
      <c r="S39" s="17" t="s">
        <v>476</v>
      </c>
      <c r="T39" s="17" t="s">
        <v>477</v>
      </c>
      <c r="U39" s="30" t="s">
        <v>110</v>
      </c>
      <c r="V39" s="17"/>
      <c r="W39" s="17"/>
      <c r="X39" s="17"/>
      <c r="Y39" s="17"/>
      <c r="Z39" s="195" t="s">
        <v>478</v>
      </c>
      <c r="AA39" s="186"/>
      <c r="AB39" s="186"/>
      <c r="AC39" s="186"/>
      <c r="AD39" s="186"/>
      <c r="AE39" s="188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</row>
    <row r="40" spans="1:54" ht="21" customHeight="1" x14ac:dyDescent="0.3">
      <c r="A40" s="1">
        <v>36</v>
      </c>
      <c r="B40" s="204"/>
      <c r="C40" s="204"/>
      <c r="D40" s="25" t="s">
        <v>97</v>
      </c>
      <c r="E40" s="17" t="s">
        <v>479</v>
      </c>
      <c r="F40" s="17" t="s">
        <v>480</v>
      </c>
      <c r="G40" s="17" t="s">
        <v>275</v>
      </c>
      <c r="H40" s="17" t="s">
        <v>481</v>
      </c>
      <c r="I40" s="26" t="s">
        <v>182</v>
      </c>
      <c r="J40" s="17" t="s">
        <v>482</v>
      </c>
      <c r="K40" s="17" t="s">
        <v>51</v>
      </c>
      <c r="L40" s="17">
        <v>3</v>
      </c>
      <c r="M40" s="17" t="s">
        <v>483</v>
      </c>
      <c r="N40" s="17" t="s">
        <v>484</v>
      </c>
      <c r="O40" s="17" t="s">
        <v>485</v>
      </c>
      <c r="P40" s="17" t="s">
        <v>486</v>
      </c>
      <c r="Q40" s="17"/>
      <c r="R40" s="17" t="s">
        <v>487</v>
      </c>
      <c r="S40" s="17" t="s">
        <v>488</v>
      </c>
      <c r="T40" s="17"/>
      <c r="U40" s="30" t="s">
        <v>110</v>
      </c>
      <c r="V40" s="17"/>
      <c r="W40" s="17"/>
      <c r="X40" s="17"/>
      <c r="Y40" s="17"/>
      <c r="Z40" s="195" t="s">
        <v>214</v>
      </c>
      <c r="AA40" s="186"/>
      <c r="AB40" s="186"/>
      <c r="AC40" s="186"/>
      <c r="AD40" s="186"/>
      <c r="AE40" s="188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</row>
    <row r="41" spans="1:54" ht="21" customHeight="1" x14ac:dyDescent="0.3">
      <c r="A41" s="1">
        <v>37</v>
      </c>
      <c r="B41" s="204"/>
      <c r="C41" s="204"/>
      <c r="D41" s="16"/>
      <c r="E41" s="17" t="s">
        <v>489</v>
      </c>
      <c r="F41" s="18" t="s">
        <v>490</v>
      </c>
      <c r="G41" s="18" t="s">
        <v>491</v>
      </c>
      <c r="H41" s="18" t="s">
        <v>492</v>
      </c>
      <c r="I41" s="19" t="s">
        <v>493</v>
      </c>
      <c r="J41" s="20" t="s">
        <v>494</v>
      </c>
      <c r="K41" s="18" t="s">
        <v>51</v>
      </c>
      <c r="L41" s="18">
        <v>3</v>
      </c>
      <c r="M41" s="18" t="s">
        <v>495</v>
      </c>
      <c r="N41" s="18" t="s">
        <v>496</v>
      </c>
      <c r="O41" s="18" t="s">
        <v>497</v>
      </c>
      <c r="P41" s="18" t="s">
        <v>498</v>
      </c>
      <c r="Q41" s="18"/>
      <c r="R41" s="18" t="s">
        <v>499</v>
      </c>
      <c r="S41" s="18" t="s">
        <v>500</v>
      </c>
      <c r="T41" s="18" t="s">
        <v>501</v>
      </c>
      <c r="U41" s="21" t="s">
        <v>311</v>
      </c>
      <c r="V41" s="18"/>
      <c r="W41" s="18"/>
      <c r="X41" s="18"/>
      <c r="Y41" s="18"/>
      <c r="Z41" s="202" t="s">
        <v>312</v>
      </c>
      <c r="AA41" s="186"/>
      <c r="AB41" s="186"/>
      <c r="AC41" s="186"/>
      <c r="AD41" s="186"/>
      <c r="AE41" s="188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</row>
    <row r="42" spans="1:54" ht="21" customHeight="1" x14ac:dyDescent="0.3">
      <c r="A42" s="1">
        <v>38</v>
      </c>
      <c r="B42" s="205"/>
      <c r="C42" s="204"/>
      <c r="D42" s="16"/>
      <c r="E42" s="17" t="s">
        <v>502</v>
      </c>
      <c r="F42" s="18" t="s">
        <v>503</v>
      </c>
      <c r="G42" s="18" t="s">
        <v>504</v>
      </c>
      <c r="H42" s="18" t="s">
        <v>505</v>
      </c>
      <c r="I42" s="19" t="s">
        <v>49</v>
      </c>
      <c r="J42" s="20" t="s">
        <v>50</v>
      </c>
      <c r="K42" s="18" t="s">
        <v>51</v>
      </c>
      <c r="L42" s="18">
        <v>3</v>
      </c>
      <c r="M42" s="18" t="s">
        <v>506</v>
      </c>
      <c r="N42" s="18" t="s">
        <v>53</v>
      </c>
      <c r="O42" s="18" t="s">
        <v>54</v>
      </c>
      <c r="P42" s="18" t="s">
        <v>55</v>
      </c>
      <c r="Q42" s="18"/>
      <c r="R42" s="18" t="s">
        <v>56</v>
      </c>
      <c r="S42" s="18" t="s">
        <v>57</v>
      </c>
      <c r="T42" s="18"/>
      <c r="U42" s="21" t="s">
        <v>507</v>
      </c>
      <c r="V42" s="18"/>
      <c r="W42" s="18"/>
      <c r="X42" s="18"/>
      <c r="Y42" s="18"/>
      <c r="Z42" s="202" t="s">
        <v>508</v>
      </c>
      <c r="AA42" s="186"/>
      <c r="AB42" s="186"/>
      <c r="AC42" s="186"/>
      <c r="AD42" s="186"/>
      <c r="AE42" s="188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</row>
    <row r="43" spans="1:54" ht="21" customHeight="1" x14ac:dyDescent="0.3">
      <c r="A43" s="1">
        <v>39</v>
      </c>
      <c r="B43" s="203" t="str">
        <f>"E4                      ("&amp;COUNTA(E43:E50)&amp;")"</f>
        <v>E4                      (8)</v>
      </c>
      <c r="C43" s="206" t="s">
        <v>509</v>
      </c>
      <c r="D43" s="16"/>
      <c r="E43" s="17" t="s">
        <v>510</v>
      </c>
      <c r="F43" s="18" t="s">
        <v>511</v>
      </c>
      <c r="G43" s="18" t="s">
        <v>512</v>
      </c>
      <c r="H43" s="18" t="s">
        <v>513</v>
      </c>
      <c r="I43" s="19" t="s">
        <v>514</v>
      </c>
      <c r="J43" s="20" t="s">
        <v>515</v>
      </c>
      <c r="K43" s="18" t="s">
        <v>51</v>
      </c>
      <c r="L43" s="18">
        <v>4</v>
      </c>
      <c r="M43" s="18" t="s">
        <v>516</v>
      </c>
      <c r="N43" s="18" t="s">
        <v>517</v>
      </c>
      <c r="O43" s="18" t="s">
        <v>518</v>
      </c>
      <c r="P43" s="18" t="s">
        <v>519</v>
      </c>
      <c r="Q43" s="18"/>
      <c r="R43" s="18" t="s">
        <v>520</v>
      </c>
      <c r="S43" s="18" t="s">
        <v>521</v>
      </c>
      <c r="T43" s="18" t="s">
        <v>415</v>
      </c>
      <c r="U43" s="21" t="s">
        <v>522</v>
      </c>
      <c r="V43" s="18"/>
      <c r="W43" s="18" t="s">
        <v>523</v>
      </c>
      <c r="X43" s="18" t="s">
        <v>524</v>
      </c>
      <c r="Y43" s="18" t="s">
        <v>525</v>
      </c>
      <c r="Z43" s="202" t="s">
        <v>526</v>
      </c>
      <c r="AA43" s="186"/>
      <c r="AB43" s="186"/>
      <c r="AC43" s="186"/>
      <c r="AD43" s="186"/>
      <c r="AE43" s="188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</row>
    <row r="44" spans="1:54" ht="21" customHeight="1" x14ac:dyDescent="0.3">
      <c r="A44" s="1">
        <v>40</v>
      </c>
      <c r="B44" s="204"/>
      <c r="C44" s="204"/>
      <c r="D44" s="16"/>
      <c r="E44" s="17" t="s">
        <v>527</v>
      </c>
      <c r="F44" s="18" t="s">
        <v>528</v>
      </c>
      <c r="G44" s="18" t="s">
        <v>373</v>
      </c>
      <c r="H44" s="18" t="s">
        <v>529</v>
      </c>
      <c r="I44" s="19" t="s">
        <v>530</v>
      </c>
      <c r="J44" s="20" t="s">
        <v>531</v>
      </c>
      <c r="K44" s="18" t="s">
        <v>34</v>
      </c>
      <c r="L44" s="18">
        <v>4</v>
      </c>
      <c r="M44" s="18" t="s">
        <v>532</v>
      </c>
      <c r="N44" s="18" t="s">
        <v>533</v>
      </c>
      <c r="O44" s="18" t="s">
        <v>534</v>
      </c>
      <c r="P44" s="18" t="s">
        <v>535</v>
      </c>
      <c r="Q44" s="18"/>
      <c r="R44" s="18" t="s">
        <v>536</v>
      </c>
      <c r="S44" s="18" t="s">
        <v>537</v>
      </c>
      <c r="T44" s="18"/>
      <c r="U44" s="21" t="s">
        <v>522</v>
      </c>
      <c r="V44" s="18"/>
      <c r="W44" s="18"/>
      <c r="X44" s="18" t="s">
        <v>524</v>
      </c>
      <c r="Y44" s="18"/>
      <c r="Z44" s="202" t="s">
        <v>538</v>
      </c>
      <c r="AA44" s="186"/>
      <c r="AB44" s="186"/>
      <c r="AC44" s="186"/>
      <c r="AD44" s="186"/>
      <c r="AE44" s="188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</row>
    <row r="45" spans="1:54" ht="21" customHeight="1" x14ac:dyDescent="0.3">
      <c r="A45" s="1">
        <v>41</v>
      </c>
      <c r="B45" s="204"/>
      <c r="C45" s="204"/>
      <c r="D45" s="16"/>
      <c r="E45" s="17" t="s">
        <v>539</v>
      </c>
      <c r="F45" s="18" t="s">
        <v>540</v>
      </c>
      <c r="G45" s="18" t="s">
        <v>541</v>
      </c>
      <c r="H45" s="18" t="s">
        <v>542</v>
      </c>
      <c r="I45" s="19" t="s">
        <v>130</v>
      </c>
      <c r="J45" s="20" t="s">
        <v>543</v>
      </c>
      <c r="K45" s="18" t="s">
        <v>34</v>
      </c>
      <c r="L45" s="18">
        <v>4</v>
      </c>
      <c r="M45" s="18" t="s">
        <v>544</v>
      </c>
      <c r="N45" s="18" t="s">
        <v>545</v>
      </c>
      <c r="O45" s="18" t="s">
        <v>546</v>
      </c>
      <c r="P45" s="18" t="s">
        <v>547</v>
      </c>
      <c r="Q45" s="18"/>
      <c r="R45" s="18" t="s">
        <v>548</v>
      </c>
      <c r="S45" s="18" t="s">
        <v>549</v>
      </c>
      <c r="T45" s="18" t="s">
        <v>550</v>
      </c>
      <c r="U45" s="21" t="s">
        <v>551</v>
      </c>
      <c r="V45" s="18"/>
      <c r="W45" s="18"/>
      <c r="X45" s="18"/>
      <c r="Y45" s="18"/>
      <c r="Z45" s="202" t="s">
        <v>552</v>
      </c>
      <c r="AA45" s="186"/>
      <c r="AB45" s="186"/>
      <c r="AC45" s="186"/>
      <c r="AD45" s="186"/>
      <c r="AE45" s="188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</row>
    <row r="46" spans="1:54" ht="21" customHeight="1" x14ac:dyDescent="0.3">
      <c r="A46" s="1">
        <v>42</v>
      </c>
      <c r="B46" s="204"/>
      <c r="C46" s="204"/>
      <c r="D46" s="16"/>
      <c r="E46" s="17" t="s">
        <v>553</v>
      </c>
      <c r="F46" s="18" t="s">
        <v>554</v>
      </c>
      <c r="G46" s="18" t="s">
        <v>555</v>
      </c>
      <c r="H46" s="18" t="s">
        <v>556</v>
      </c>
      <c r="I46" s="19" t="s">
        <v>351</v>
      </c>
      <c r="J46" s="20" t="s">
        <v>557</v>
      </c>
      <c r="K46" s="18" t="s">
        <v>34</v>
      </c>
      <c r="L46" s="18">
        <v>4</v>
      </c>
      <c r="M46" s="18" t="s">
        <v>558</v>
      </c>
      <c r="N46" s="18" t="s">
        <v>559</v>
      </c>
      <c r="O46" s="18" t="s">
        <v>560</v>
      </c>
      <c r="P46" s="18" t="s">
        <v>561</v>
      </c>
      <c r="Q46" s="18"/>
      <c r="R46" s="18" t="s">
        <v>562</v>
      </c>
      <c r="S46" s="18" t="s">
        <v>563</v>
      </c>
      <c r="T46" s="18" t="s">
        <v>564</v>
      </c>
      <c r="U46" s="21" t="s">
        <v>565</v>
      </c>
      <c r="V46" s="18"/>
      <c r="W46" s="18"/>
      <c r="X46" s="18"/>
      <c r="Y46" s="18"/>
      <c r="Z46" s="202" t="s">
        <v>566</v>
      </c>
      <c r="AA46" s="186"/>
      <c r="AB46" s="186"/>
      <c r="AC46" s="186"/>
      <c r="AD46" s="186"/>
      <c r="AE46" s="188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</row>
    <row r="47" spans="1:54" ht="21" customHeight="1" x14ac:dyDescent="0.3">
      <c r="A47" s="1">
        <v>43</v>
      </c>
      <c r="B47" s="204"/>
      <c r="C47" s="204"/>
      <c r="D47" s="16"/>
      <c r="E47" s="17" t="s">
        <v>567</v>
      </c>
      <c r="F47" s="18" t="s">
        <v>568</v>
      </c>
      <c r="G47" s="18" t="s">
        <v>569</v>
      </c>
      <c r="H47" s="18" t="s">
        <v>570</v>
      </c>
      <c r="I47" s="19" t="s">
        <v>571</v>
      </c>
      <c r="J47" s="31" t="s">
        <v>572</v>
      </c>
      <c r="K47" s="18" t="s">
        <v>34</v>
      </c>
      <c r="L47" s="18">
        <v>4</v>
      </c>
      <c r="M47" s="18" t="s">
        <v>573</v>
      </c>
      <c r="N47" s="18" t="s">
        <v>574</v>
      </c>
      <c r="O47" s="18" t="s">
        <v>575</v>
      </c>
      <c r="P47" s="18" t="s">
        <v>576</v>
      </c>
      <c r="Q47" s="18"/>
      <c r="R47" s="18" t="s">
        <v>577</v>
      </c>
      <c r="S47" s="18" t="s">
        <v>578</v>
      </c>
      <c r="T47" s="18" t="s">
        <v>579</v>
      </c>
      <c r="U47" s="21" t="s">
        <v>424</v>
      </c>
      <c r="V47" s="18"/>
      <c r="W47" s="18"/>
      <c r="X47" s="18"/>
      <c r="Y47" s="18"/>
      <c r="Z47" s="202" t="s">
        <v>580</v>
      </c>
      <c r="AA47" s="186"/>
      <c r="AB47" s="186"/>
      <c r="AC47" s="186"/>
      <c r="AD47" s="186"/>
      <c r="AE47" s="188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</row>
    <row r="48" spans="1:54" ht="21" customHeight="1" x14ac:dyDescent="0.3">
      <c r="A48" s="1">
        <v>44</v>
      </c>
      <c r="B48" s="204"/>
      <c r="C48" s="204"/>
      <c r="D48" s="16"/>
      <c r="E48" s="17" t="s">
        <v>581</v>
      </c>
      <c r="F48" s="18" t="s">
        <v>582</v>
      </c>
      <c r="G48" s="18" t="s">
        <v>583</v>
      </c>
      <c r="H48" s="18" t="s">
        <v>584</v>
      </c>
      <c r="I48" s="19" t="s">
        <v>514</v>
      </c>
      <c r="J48" s="20" t="s">
        <v>585</v>
      </c>
      <c r="K48" s="18" t="s">
        <v>34</v>
      </c>
      <c r="L48" s="18">
        <v>4</v>
      </c>
      <c r="M48" s="18" t="s">
        <v>586</v>
      </c>
      <c r="N48" s="18" t="s">
        <v>587</v>
      </c>
      <c r="O48" s="18" t="s">
        <v>588</v>
      </c>
      <c r="P48" s="18" t="s">
        <v>589</v>
      </c>
      <c r="Q48" s="18"/>
      <c r="R48" s="18" t="s">
        <v>590</v>
      </c>
      <c r="S48" s="18" t="s">
        <v>591</v>
      </c>
      <c r="T48" s="18"/>
      <c r="U48" s="21" t="s">
        <v>399</v>
      </c>
      <c r="V48" s="18"/>
      <c r="W48" s="18" t="s">
        <v>400</v>
      </c>
      <c r="X48" s="18"/>
      <c r="Y48" s="18"/>
      <c r="Z48" s="202" t="s">
        <v>401</v>
      </c>
      <c r="AA48" s="186"/>
      <c r="AB48" s="186"/>
      <c r="AC48" s="186"/>
      <c r="AD48" s="186"/>
      <c r="AE48" s="188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</row>
    <row r="49" spans="1:54" ht="21" customHeight="1" x14ac:dyDescent="0.3">
      <c r="A49" s="1">
        <v>45</v>
      </c>
      <c r="B49" s="204"/>
      <c r="C49" s="204"/>
      <c r="D49" s="25" t="s">
        <v>97</v>
      </c>
      <c r="E49" s="24" t="s">
        <v>592</v>
      </c>
      <c r="F49" s="17" t="s">
        <v>593</v>
      </c>
      <c r="G49" s="17" t="s">
        <v>154</v>
      </c>
      <c r="H49" s="17" t="s">
        <v>594</v>
      </c>
      <c r="I49" s="26" t="s">
        <v>130</v>
      </c>
      <c r="J49" s="29" t="s">
        <v>595</v>
      </c>
      <c r="K49" s="17" t="s">
        <v>34</v>
      </c>
      <c r="L49" s="17">
        <v>4</v>
      </c>
      <c r="M49" s="17" t="s">
        <v>596</v>
      </c>
      <c r="N49" s="17" t="s">
        <v>597</v>
      </c>
      <c r="O49" s="17" t="s">
        <v>598</v>
      </c>
      <c r="P49" s="17" t="s">
        <v>599</v>
      </c>
      <c r="Q49" s="17"/>
      <c r="R49" s="17" t="s">
        <v>600</v>
      </c>
      <c r="S49" s="17" t="s">
        <v>601</v>
      </c>
      <c r="T49" s="17"/>
      <c r="U49" s="30" t="s">
        <v>602</v>
      </c>
      <c r="V49" s="17"/>
      <c r="W49" s="17"/>
      <c r="X49" s="17"/>
      <c r="Y49" s="17"/>
      <c r="Z49" s="195" t="s">
        <v>603</v>
      </c>
      <c r="AA49" s="186"/>
      <c r="AB49" s="186"/>
      <c r="AC49" s="186"/>
      <c r="AD49" s="186"/>
      <c r="AE49" s="188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</row>
    <row r="50" spans="1:54" ht="21" customHeight="1" x14ac:dyDescent="0.3">
      <c r="A50" s="1">
        <v>46</v>
      </c>
      <c r="B50" s="205"/>
      <c r="C50" s="205"/>
      <c r="D50" s="16"/>
      <c r="E50" s="24" t="s">
        <v>604</v>
      </c>
      <c r="F50" s="18" t="s">
        <v>605</v>
      </c>
      <c r="G50" s="18" t="s">
        <v>606</v>
      </c>
      <c r="H50" s="18" t="s">
        <v>607</v>
      </c>
      <c r="I50" s="19" t="s">
        <v>608</v>
      </c>
      <c r="J50" s="20" t="s">
        <v>609</v>
      </c>
      <c r="K50" s="18" t="s">
        <v>51</v>
      </c>
      <c r="L50" s="18">
        <v>4</v>
      </c>
      <c r="M50" s="18" t="s">
        <v>610</v>
      </c>
      <c r="N50" s="18" t="s">
        <v>611</v>
      </c>
      <c r="O50" s="18" t="s">
        <v>612</v>
      </c>
      <c r="P50" s="18" t="s">
        <v>613</v>
      </c>
      <c r="Q50" s="18"/>
      <c r="R50" s="18" t="s">
        <v>614</v>
      </c>
      <c r="S50" s="18" t="s">
        <v>615</v>
      </c>
      <c r="T50" s="18" t="s">
        <v>616</v>
      </c>
      <c r="U50" s="21" t="s">
        <v>43</v>
      </c>
      <c r="V50" s="18"/>
      <c r="W50" s="18"/>
      <c r="X50" s="18"/>
      <c r="Y50" s="18"/>
      <c r="Z50" s="202" t="s">
        <v>227</v>
      </c>
      <c r="AA50" s="186"/>
      <c r="AB50" s="186"/>
      <c r="AC50" s="186"/>
      <c r="AD50" s="186"/>
      <c r="AE50" s="188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</row>
    <row r="51" spans="1:54" ht="21" customHeight="1" x14ac:dyDescent="0.3">
      <c r="A51" s="1">
        <v>47</v>
      </c>
      <c r="B51" s="203" t="str">
        <f>"E5                      ("&amp;COUNTA(E51:E61)&amp;")"</f>
        <v>E5                      (11)</v>
      </c>
      <c r="C51" s="209" t="s">
        <v>617</v>
      </c>
      <c r="D51" s="16"/>
      <c r="E51" s="18" t="s">
        <v>618</v>
      </c>
      <c r="F51" s="18" t="s">
        <v>619</v>
      </c>
      <c r="G51" s="18" t="s">
        <v>300</v>
      </c>
      <c r="H51" s="18" t="s">
        <v>620</v>
      </c>
      <c r="I51" s="19" t="s">
        <v>530</v>
      </c>
      <c r="J51" s="20" t="s">
        <v>621</v>
      </c>
      <c r="K51" s="18" t="s">
        <v>51</v>
      </c>
      <c r="L51" s="18">
        <v>5</v>
      </c>
      <c r="M51" s="18" t="s">
        <v>622</v>
      </c>
      <c r="N51" s="18" t="s">
        <v>533</v>
      </c>
      <c r="O51" s="18" t="s">
        <v>534</v>
      </c>
      <c r="P51" s="18" t="s">
        <v>535</v>
      </c>
      <c r="Q51" s="18"/>
      <c r="R51" s="18" t="s">
        <v>536</v>
      </c>
      <c r="S51" s="18" t="s">
        <v>537</v>
      </c>
      <c r="T51" s="18" t="s">
        <v>415</v>
      </c>
      <c r="U51" s="21" t="s">
        <v>623</v>
      </c>
      <c r="V51" s="18"/>
      <c r="W51" s="18"/>
      <c r="X51" s="18"/>
      <c r="Y51" s="18"/>
      <c r="Z51" s="202" t="s">
        <v>624</v>
      </c>
      <c r="AA51" s="186"/>
      <c r="AB51" s="186"/>
      <c r="AC51" s="186"/>
      <c r="AD51" s="186"/>
      <c r="AE51" s="188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</row>
    <row r="52" spans="1:54" ht="21" customHeight="1" x14ac:dyDescent="0.3">
      <c r="A52" s="1">
        <v>48</v>
      </c>
      <c r="B52" s="204"/>
      <c r="C52" s="204"/>
      <c r="D52" s="16"/>
      <c r="E52" s="18" t="s">
        <v>625</v>
      </c>
      <c r="F52" s="18" t="s">
        <v>626</v>
      </c>
      <c r="G52" s="18" t="s">
        <v>627</v>
      </c>
      <c r="H52" s="18" t="s">
        <v>628</v>
      </c>
      <c r="I52" s="19" t="s">
        <v>456</v>
      </c>
      <c r="J52" s="31" t="s">
        <v>457</v>
      </c>
      <c r="K52" s="18" t="s">
        <v>34</v>
      </c>
      <c r="L52" s="18">
        <v>5</v>
      </c>
      <c r="M52" s="18" t="s">
        <v>629</v>
      </c>
      <c r="N52" s="18" t="s">
        <v>459</v>
      </c>
      <c r="O52" s="18" t="s">
        <v>460</v>
      </c>
      <c r="P52" s="18" t="s">
        <v>461</v>
      </c>
      <c r="Q52" s="18"/>
      <c r="R52" s="18" t="s">
        <v>462</v>
      </c>
      <c r="S52" s="18" t="s">
        <v>463</v>
      </c>
      <c r="T52" s="18" t="s">
        <v>630</v>
      </c>
      <c r="U52" s="21" t="s">
        <v>631</v>
      </c>
      <c r="V52" s="18"/>
      <c r="W52" s="18"/>
      <c r="X52" s="18"/>
      <c r="Y52" s="18"/>
      <c r="Z52" s="202" t="s">
        <v>632</v>
      </c>
      <c r="AA52" s="186"/>
      <c r="AB52" s="186"/>
      <c r="AC52" s="186"/>
      <c r="AD52" s="186"/>
      <c r="AE52" s="188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</row>
    <row r="53" spans="1:54" ht="21" customHeight="1" x14ac:dyDescent="0.3">
      <c r="A53" s="1">
        <v>49</v>
      </c>
      <c r="B53" s="204"/>
      <c r="C53" s="204"/>
      <c r="D53" s="16"/>
      <c r="E53" s="17" t="s">
        <v>633</v>
      </c>
      <c r="F53" s="18" t="s">
        <v>634</v>
      </c>
      <c r="G53" s="18" t="s">
        <v>275</v>
      </c>
      <c r="H53" s="18" t="s">
        <v>635</v>
      </c>
      <c r="I53" s="19" t="s">
        <v>406</v>
      </c>
      <c r="J53" s="20" t="s">
        <v>407</v>
      </c>
      <c r="K53" s="18" t="s">
        <v>51</v>
      </c>
      <c r="L53" s="18">
        <v>5</v>
      </c>
      <c r="M53" s="18" t="s">
        <v>636</v>
      </c>
      <c r="N53" s="18" t="s">
        <v>409</v>
      </c>
      <c r="O53" s="18" t="s">
        <v>410</v>
      </c>
      <c r="P53" s="18" t="s">
        <v>411</v>
      </c>
      <c r="Q53" s="18" t="s">
        <v>412</v>
      </c>
      <c r="R53" s="18" t="s">
        <v>413</v>
      </c>
      <c r="S53" s="18" t="s">
        <v>414</v>
      </c>
      <c r="T53" s="18" t="s">
        <v>415</v>
      </c>
      <c r="U53" s="21" t="s">
        <v>416</v>
      </c>
      <c r="V53" s="18"/>
      <c r="W53" s="18"/>
      <c r="X53" s="18"/>
      <c r="Y53" s="18"/>
      <c r="Z53" s="202" t="s">
        <v>637</v>
      </c>
      <c r="AA53" s="186"/>
      <c r="AB53" s="186"/>
      <c r="AC53" s="186"/>
      <c r="AD53" s="186"/>
      <c r="AE53" s="188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</row>
    <row r="54" spans="1:54" ht="21" customHeight="1" x14ac:dyDescent="0.3">
      <c r="A54" s="1">
        <v>50</v>
      </c>
      <c r="B54" s="204"/>
      <c r="C54" s="204"/>
      <c r="D54" s="16"/>
      <c r="E54" s="17" t="s">
        <v>638</v>
      </c>
      <c r="F54" s="18" t="s">
        <v>639</v>
      </c>
      <c r="G54" s="18" t="s">
        <v>640</v>
      </c>
      <c r="H54" s="18" t="s">
        <v>641</v>
      </c>
      <c r="I54" s="19" t="s">
        <v>642</v>
      </c>
      <c r="J54" s="20" t="s">
        <v>643</v>
      </c>
      <c r="K54" s="18" t="s">
        <v>51</v>
      </c>
      <c r="L54" s="18">
        <v>5</v>
      </c>
      <c r="M54" s="18" t="s">
        <v>644</v>
      </c>
      <c r="N54" s="18" t="s">
        <v>645</v>
      </c>
      <c r="O54" s="18" t="s">
        <v>646</v>
      </c>
      <c r="P54" s="18" t="s">
        <v>647</v>
      </c>
      <c r="Q54" s="18"/>
      <c r="R54" s="18" t="s">
        <v>648</v>
      </c>
      <c r="S54" s="18" t="s">
        <v>649</v>
      </c>
      <c r="T54" s="18"/>
      <c r="U54" s="21" t="s">
        <v>650</v>
      </c>
      <c r="V54" s="18"/>
      <c r="W54" s="18"/>
      <c r="X54" s="18" t="s">
        <v>650</v>
      </c>
      <c r="Y54" s="18"/>
      <c r="Z54" s="202" t="s">
        <v>651</v>
      </c>
      <c r="AA54" s="186"/>
      <c r="AB54" s="186"/>
      <c r="AC54" s="186"/>
      <c r="AD54" s="186"/>
      <c r="AE54" s="188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</row>
    <row r="55" spans="1:54" ht="21" customHeight="1" x14ac:dyDescent="0.3">
      <c r="A55" s="1">
        <v>51</v>
      </c>
      <c r="B55" s="204"/>
      <c r="C55" s="204"/>
      <c r="D55" s="16"/>
      <c r="E55" s="17" t="s">
        <v>652</v>
      </c>
      <c r="F55" s="18" t="s">
        <v>653</v>
      </c>
      <c r="G55" s="18" t="s">
        <v>654</v>
      </c>
      <c r="H55" s="18" t="s">
        <v>655</v>
      </c>
      <c r="I55" s="19" t="s">
        <v>317</v>
      </c>
      <c r="J55" s="20" t="s">
        <v>656</v>
      </c>
      <c r="K55" s="18" t="s">
        <v>34</v>
      </c>
      <c r="L55" s="18">
        <v>5</v>
      </c>
      <c r="M55" s="18" t="s">
        <v>657</v>
      </c>
      <c r="N55" s="18" t="s">
        <v>658</v>
      </c>
      <c r="O55" s="18" t="s">
        <v>659</v>
      </c>
      <c r="P55" s="18" t="s">
        <v>660</v>
      </c>
      <c r="Q55" s="18"/>
      <c r="R55" s="18" t="s">
        <v>661</v>
      </c>
      <c r="S55" s="18" t="s">
        <v>662</v>
      </c>
      <c r="T55" s="18" t="s">
        <v>663</v>
      </c>
      <c r="U55" s="21" t="s">
        <v>664</v>
      </c>
      <c r="V55" s="18"/>
      <c r="W55" s="18"/>
      <c r="X55" s="18"/>
      <c r="Y55" s="18"/>
      <c r="Z55" s="202" t="s">
        <v>665</v>
      </c>
      <c r="AA55" s="186"/>
      <c r="AB55" s="186"/>
      <c r="AC55" s="186"/>
      <c r="AD55" s="186"/>
      <c r="AE55" s="188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</row>
    <row r="56" spans="1:54" ht="21" customHeight="1" x14ac:dyDescent="0.3">
      <c r="A56" s="1">
        <v>52</v>
      </c>
      <c r="B56" s="204"/>
      <c r="C56" s="204"/>
      <c r="D56" s="16"/>
      <c r="E56" s="17" t="s">
        <v>666</v>
      </c>
      <c r="F56" s="18" t="s">
        <v>667</v>
      </c>
      <c r="G56" s="18" t="s">
        <v>192</v>
      </c>
      <c r="H56" s="18" t="s">
        <v>668</v>
      </c>
      <c r="I56" s="19" t="s">
        <v>669</v>
      </c>
      <c r="J56" s="20" t="s">
        <v>670</v>
      </c>
      <c r="K56" s="18" t="s">
        <v>51</v>
      </c>
      <c r="L56" s="18">
        <v>5</v>
      </c>
      <c r="M56" s="18" t="s">
        <v>671</v>
      </c>
      <c r="N56" s="18" t="s">
        <v>672</v>
      </c>
      <c r="O56" s="18" t="s">
        <v>673</v>
      </c>
      <c r="P56" s="18" t="s">
        <v>674</v>
      </c>
      <c r="Q56" s="18"/>
      <c r="R56" s="18" t="s">
        <v>675</v>
      </c>
      <c r="S56" s="18" t="s">
        <v>676</v>
      </c>
      <c r="T56" s="18" t="s">
        <v>677</v>
      </c>
      <c r="U56" s="21" t="s">
        <v>58</v>
      </c>
      <c r="V56" s="18"/>
      <c r="W56" s="18"/>
      <c r="X56" s="18"/>
      <c r="Y56" s="18"/>
      <c r="Z56" s="202" t="s">
        <v>678</v>
      </c>
      <c r="AA56" s="186"/>
      <c r="AB56" s="186"/>
      <c r="AC56" s="186"/>
      <c r="AD56" s="186"/>
      <c r="AE56" s="188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</row>
    <row r="57" spans="1:54" ht="21" customHeight="1" x14ac:dyDescent="0.3">
      <c r="A57" s="1">
        <v>53</v>
      </c>
      <c r="B57" s="204"/>
      <c r="C57" s="204"/>
      <c r="D57" s="33" t="s">
        <v>97</v>
      </c>
      <c r="E57" s="24" t="s">
        <v>679</v>
      </c>
      <c r="F57" s="17" t="s">
        <v>680</v>
      </c>
      <c r="G57" s="17" t="s">
        <v>681</v>
      </c>
      <c r="H57" s="17" t="s">
        <v>682</v>
      </c>
      <c r="I57" s="26" t="s">
        <v>102</v>
      </c>
      <c r="J57" s="17" t="s">
        <v>103</v>
      </c>
      <c r="K57" s="17" t="s">
        <v>51</v>
      </c>
      <c r="L57" s="17">
        <v>5</v>
      </c>
      <c r="M57" s="17" t="s">
        <v>683</v>
      </c>
      <c r="N57" s="17" t="s">
        <v>105</v>
      </c>
      <c r="O57" s="17" t="s">
        <v>106</v>
      </c>
      <c r="P57" s="17" t="s">
        <v>107</v>
      </c>
      <c r="Q57" s="17"/>
      <c r="R57" s="17" t="s">
        <v>684</v>
      </c>
      <c r="S57" s="17" t="s">
        <v>109</v>
      </c>
      <c r="T57" s="17" t="s">
        <v>685</v>
      </c>
      <c r="U57" s="27" t="s">
        <v>110</v>
      </c>
      <c r="V57" s="17"/>
      <c r="W57" s="17"/>
      <c r="X57" s="17"/>
      <c r="Y57" s="17"/>
      <c r="Z57" s="195" t="s">
        <v>111</v>
      </c>
      <c r="AA57" s="186"/>
      <c r="AB57" s="186"/>
      <c r="AC57" s="186"/>
      <c r="AD57" s="186"/>
      <c r="AE57" s="188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</row>
    <row r="58" spans="1:54" ht="21" customHeight="1" x14ac:dyDescent="0.3">
      <c r="A58" s="1">
        <v>54</v>
      </c>
      <c r="B58" s="204"/>
      <c r="C58" s="204"/>
      <c r="D58" s="33" t="s">
        <v>97</v>
      </c>
      <c r="E58" s="24" t="s">
        <v>686</v>
      </c>
      <c r="F58" s="17" t="s">
        <v>687</v>
      </c>
      <c r="G58" s="17" t="s">
        <v>688</v>
      </c>
      <c r="H58" s="17" t="s">
        <v>115</v>
      </c>
      <c r="I58" s="26" t="s">
        <v>669</v>
      </c>
      <c r="J58" s="17" t="s">
        <v>689</v>
      </c>
      <c r="K58" s="17" t="s">
        <v>51</v>
      </c>
      <c r="L58" s="17">
        <v>5</v>
      </c>
      <c r="M58" s="17" t="s">
        <v>690</v>
      </c>
      <c r="N58" s="17" t="s">
        <v>691</v>
      </c>
      <c r="O58" s="17" t="s">
        <v>692</v>
      </c>
      <c r="P58" s="17" t="s">
        <v>693</v>
      </c>
      <c r="Q58" s="34"/>
      <c r="R58" s="17" t="s">
        <v>694</v>
      </c>
      <c r="S58" s="17" t="s">
        <v>695</v>
      </c>
      <c r="T58" s="17" t="s">
        <v>696</v>
      </c>
      <c r="U58" s="30" t="s">
        <v>110</v>
      </c>
      <c r="V58" s="34"/>
      <c r="W58" s="34"/>
      <c r="X58" s="34"/>
      <c r="Y58" s="34"/>
      <c r="Z58" s="195" t="s">
        <v>697</v>
      </c>
      <c r="AA58" s="186"/>
      <c r="AB58" s="186"/>
      <c r="AC58" s="186"/>
      <c r="AD58" s="186"/>
      <c r="AE58" s="188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</row>
    <row r="59" spans="1:54" ht="21" customHeight="1" x14ac:dyDescent="0.3">
      <c r="A59" s="1">
        <v>55</v>
      </c>
      <c r="B59" s="204"/>
      <c r="C59" s="204"/>
      <c r="D59" s="25" t="s">
        <v>97</v>
      </c>
      <c r="E59" s="17" t="s">
        <v>698</v>
      </c>
      <c r="F59" s="17" t="s">
        <v>699</v>
      </c>
      <c r="G59" s="17" t="s">
        <v>700</v>
      </c>
      <c r="H59" s="17" t="s">
        <v>701</v>
      </c>
      <c r="I59" s="26" t="s">
        <v>130</v>
      </c>
      <c r="J59" s="29" t="s">
        <v>595</v>
      </c>
      <c r="K59" s="17" t="s">
        <v>34</v>
      </c>
      <c r="L59" s="17">
        <v>5</v>
      </c>
      <c r="M59" s="17" t="s">
        <v>702</v>
      </c>
      <c r="N59" s="17" t="s">
        <v>597</v>
      </c>
      <c r="O59" s="17" t="s">
        <v>598</v>
      </c>
      <c r="P59" s="17" t="s">
        <v>599</v>
      </c>
      <c r="Q59" s="17"/>
      <c r="R59" s="17" t="s">
        <v>600</v>
      </c>
      <c r="S59" s="17" t="s">
        <v>601</v>
      </c>
      <c r="T59" s="17"/>
      <c r="U59" s="30" t="s">
        <v>602</v>
      </c>
      <c r="V59" s="17"/>
      <c r="W59" s="17"/>
      <c r="X59" s="17"/>
      <c r="Y59" s="17"/>
      <c r="Z59" s="195" t="s">
        <v>603</v>
      </c>
      <c r="AA59" s="186"/>
      <c r="AB59" s="186"/>
      <c r="AC59" s="186"/>
      <c r="AD59" s="186"/>
      <c r="AE59" s="188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</row>
    <row r="60" spans="1:54" ht="21" customHeight="1" x14ac:dyDescent="0.3">
      <c r="A60" s="1">
        <v>56</v>
      </c>
      <c r="B60" s="204"/>
      <c r="C60" s="204"/>
      <c r="D60" s="25" t="s">
        <v>97</v>
      </c>
      <c r="E60" s="17" t="s">
        <v>703</v>
      </c>
      <c r="F60" s="17" t="s">
        <v>704</v>
      </c>
      <c r="G60" s="17" t="s">
        <v>705</v>
      </c>
      <c r="H60" s="17" t="s">
        <v>706</v>
      </c>
      <c r="I60" s="26" t="s">
        <v>707</v>
      </c>
      <c r="J60" s="17" t="s">
        <v>708</v>
      </c>
      <c r="K60" s="17" t="s">
        <v>51</v>
      </c>
      <c r="L60" s="17">
        <v>5</v>
      </c>
      <c r="M60" s="17" t="s">
        <v>709</v>
      </c>
      <c r="N60" s="17" t="s">
        <v>710</v>
      </c>
      <c r="O60" s="17" t="s">
        <v>711</v>
      </c>
      <c r="P60" s="17" t="s">
        <v>712</v>
      </c>
      <c r="Q60" s="17"/>
      <c r="R60" s="17" t="s">
        <v>713</v>
      </c>
      <c r="S60" s="17" t="s">
        <v>714</v>
      </c>
      <c r="T60" s="17" t="s">
        <v>715</v>
      </c>
      <c r="U60" s="30" t="s">
        <v>716</v>
      </c>
      <c r="V60" s="17"/>
      <c r="W60" s="17"/>
      <c r="X60" s="17"/>
      <c r="Y60" s="17"/>
      <c r="Z60" s="195" t="s">
        <v>717</v>
      </c>
      <c r="AA60" s="186"/>
      <c r="AB60" s="186"/>
      <c r="AC60" s="186"/>
      <c r="AD60" s="186"/>
      <c r="AE60" s="188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</row>
    <row r="61" spans="1:54" ht="21" customHeight="1" x14ac:dyDescent="0.3">
      <c r="A61" s="1">
        <v>57</v>
      </c>
      <c r="B61" s="208"/>
      <c r="C61" s="205"/>
      <c r="D61" s="16"/>
      <c r="E61" s="17" t="s">
        <v>718</v>
      </c>
      <c r="F61" s="18" t="s">
        <v>719</v>
      </c>
      <c r="G61" s="18" t="s">
        <v>720</v>
      </c>
      <c r="H61" s="18" t="s">
        <v>721</v>
      </c>
      <c r="I61" s="19" t="s">
        <v>669</v>
      </c>
      <c r="J61" s="20" t="s">
        <v>722</v>
      </c>
      <c r="K61" s="18" t="s">
        <v>51</v>
      </c>
      <c r="L61" s="18">
        <v>5</v>
      </c>
      <c r="M61" s="18" t="s">
        <v>723</v>
      </c>
      <c r="N61" s="18" t="s">
        <v>724</v>
      </c>
      <c r="O61" s="18" t="s">
        <v>725</v>
      </c>
      <c r="P61" s="18" t="s">
        <v>726</v>
      </c>
      <c r="Q61" s="18"/>
      <c r="R61" s="18" t="s">
        <v>727</v>
      </c>
      <c r="S61" s="18" t="s">
        <v>728</v>
      </c>
      <c r="T61" s="18" t="s">
        <v>729</v>
      </c>
      <c r="U61" s="21" t="s">
        <v>58</v>
      </c>
      <c r="V61" s="18"/>
      <c r="W61" s="18"/>
      <c r="X61" s="18"/>
      <c r="Y61" s="18"/>
      <c r="Z61" s="202" t="s">
        <v>730</v>
      </c>
      <c r="AA61" s="186"/>
      <c r="AB61" s="186"/>
      <c r="AC61" s="186"/>
      <c r="AD61" s="186"/>
      <c r="AE61" s="188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</row>
    <row r="62" spans="1:54" ht="21" customHeight="1" x14ac:dyDescent="0.3">
      <c r="A62" s="1">
        <v>58</v>
      </c>
      <c r="B62" s="210" t="str">
        <f>"M6                      ("&amp;COUNTA(E62:E75)&amp;")"</f>
        <v>M6                      (14)</v>
      </c>
      <c r="C62" s="209" t="s">
        <v>731</v>
      </c>
      <c r="D62" s="16"/>
      <c r="E62" s="18" t="s">
        <v>732</v>
      </c>
      <c r="F62" s="18" t="s">
        <v>733</v>
      </c>
      <c r="G62" s="18" t="s">
        <v>734</v>
      </c>
      <c r="H62" s="18" t="s">
        <v>735</v>
      </c>
      <c r="I62" s="19" t="s">
        <v>530</v>
      </c>
      <c r="J62" s="20" t="s">
        <v>736</v>
      </c>
      <c r="K62" s="18" t="s">
        <v>34</v>
      </c>
      <c r="L62" s="18">
        <v>6</v>
      </c>
      <c r="M62" s="18" t="s">
        <v>737</v>
      </c>
      <c r="N62" s="18" t="s">
        <v>738</v>
      </c>
      <c r="O62" s="18" t="s">
        <v>739</v>
      </c>
      <c r="P62" s="18" t="s">
        <v>740</v>
      </c>
      <c r="Q62" s="18"/>
      <c r="R62" s="18" t="s">
        <v>741</v>
      </c>
      <c r="S62" s="18" t="s">
        <v>742</v>
      </c>
      <c r="T62" s="18" t="s">
        <v>743</v>
      </c>
      <c r="U62" s="21" t="s">
        <v>623</v>
      </c>
      <c r="V62" s="18"/>
      <c r="W62" s="18"/>
      <c r="X62" s="18"/>
      <c r="Y62" s="18"/>
      <c r="Z62" s="202" t="s">
        <v>744</v>
      </c>
      <c r="AA62" s="186"/>
      <c r="AB62" s="186"/>
      <c r="AC62" s="186"/>
      <c r="AD62" s="186"/>
      <c r="AE62" s="188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</row>
    <row r="63" spans="1:54" ht="21" customHeight="1" x14ac:dyDescent="0.3">
      <c r="A63" s="1">
        <v>59</v>
      </c>
      <c r="B63" s="204"/>
      <c r="C63" s="204"/>
      <c r="D63" s="16"/>
      <c r="E63" s="17" t="s">
        <v>745</v>
      </c>
      <c r="F63" s="18" t="s">
        <v>746</v>
      </c>
      <c r="G63" s="18" t="s">
        <v>747</v>
      </c>
      <c r="H63" s="18" t="s">
        <v>748</v>
      </c>
      <c r="I63" s="19" t="s">
        <v>233</v>
      </c>
      <c r="J63" s="20" t="s">
        <v>234</v>
      </c>
      <c r="K63" s="18" t="s">
        <v>34</v>
      </c>
      <c r="L63" s="18">
        <v>6</v>
      </c>
      <c r="M63" s="18" t="s">
        <v>749</v>
      </c>
      <c r="N63" s="18" t="s">
        <v>236</v>
      </c>
      <c r="O63" s="18" t="s">
        <v>237</v>
      </c>
      <c r="P63" s="18" t="s">
        <v>238</v>
      </c>
      <c r="Q63" s="18"/>
      <c r="R63" s="18" t="s">
        <v>239</v>
      </c>
      <c r="S63" s="18" t="s">
        <v>240</v>
      </c>
      <c r="T63" s="18" t="s">
        <v>750</v>
      </c>
      <c r="U63" s="21" t="s">
        <v>241</v>
      </c>
      <c r="V63" s="18"/>
      <c r="W63" s="18"/>
      <c r="X63" s="18"/>
      <c r="Y63" s="18"/>
      <c r="Z63" s="202" t="s">
        <v>242</v>
      </c>
      <c r="AA63" s="186"/>
      <c r="AB63" s="186"/>
      <c r="AC63" s="186"/>
      <c r="AD63" s="186"/>
      <c r="AE63" s="188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</row>
    <row r="64" spans="1:54" ht="21" customHeight="1" x14ac:dyDescent="0.3">
      <c r="A64" s="1">
        <v>60</v>
      </c>
      <c r="B64" s="204"/>
      <c r="C64" s="204"/>
      <c r="D64" s="16"/>
      <c r="E64" s="17" t="s">
        <v>751</v>
      </c>
      <c r="F64" s="18" t="s">
        <v>752</v>
      </c>
      <c r="G64" s="18" t="s">
        <v>753</v>
      </c>
      <c r="H64" s="18" t="s">
        <v>754</v>
      </c>
      <c r="I64" s="19" t="s">
        <v>443</v>
      </c>
      <c r="J64" s="20" t="s">
        <v>444</v>
      </c>
      <c r="K64" s="18" t="s">
        <v>51</v>
      </c>
      <c r="L64" s="18">
        <v>6</v>
      </c>
      <c r="M64" s="18" t="s">
        <v>755</v>
      </c>
      <c r="N64" s="18" t="s">
        <v>446</v>
      </c>
      <c r="O64" s="18" t="s">
        <v>447</v>
      </c>
      <c r="P64" s="18" t="s">
        <v>448</v>
      </c>
      <c r="Q64" s="18"/>
      <c r="R64" s="18" t="s">
        <v>449</v>
      </c>
      <c r="S64" s="18" t="s">
        <v>450</v>
      </c>
      <c r="T64" s="18" t="s">
        <v>449</v>
      </c>
      <c r="U64" s="21" t="s">
        <v>424</v>
      </c>
      <c r="V64" s="18"/>
      <c r="W64" s="18"/>
      <c r="X64" s="18"/>
      <c r="Y64" s="18"/>
      <c r="Z64" s="202" t="s">
        <v>451</v>
      </c>
      <c r="AA64" s="186"/>
      <c r="AB64" s="186"/>
      <c r="AC64" s="186"/>
      <c r="AD64" s="186"/>
      <c r="AE64" s="188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</row>
    <row r="65" spans="1:54" ht="21" customHeight="1" x14ac:dyDescent="0.3">
      <c r="A65" s="1">
        <v>61</v>
      </c>
      <c r="B65" s="204"/>
      <c r="C65" s="204"/>
      <c r="D65" s="16"/>
      <c r="E65" s="17" t="s">
        <v>756</v>
      </c>
      <c r="F65" s="18" t="s">
        <v>757</v>
      </c>
      <c r="G65" s="18" t="s">
        <v>606</v>
      </c>
      <c r="H65" s="18" t="s">
        <v>758</v>
      </c>
      <c r="I65" s="19" t="s">
        <v>759</v>
      </c>
      <c r="J65" s="20" t="s">
        <v>760</v>
      </c>
      <c r="K65" s="18" t="s">
        <v>51</v>
      </c>
      <c r="L65" s="18">
        <v>6</v>
      </c>
      <c r="M65" s="18" t="s">
        <v>761</v>
      </c>
      <c r="N65" s="18" t="s">
        <v>762</v>
      </c>
      <c r="O65" s="18" t="s">
        <v>763</v>
      </c>
      <c r="P65" s="18" t="s">
        <v>764</v>
      </c>
      <c r="Q65" s="18"/>
      <c r="R65" s="18" t="s">
        <v>765</v>
      </c>
      <c r="S65" s="18" t="s">
        <v>766</v>
      </c>
      <c r="T65" s="18" t="s">
        <v>767</v>
      </c>
      <c r="U65" s="21" t="s">
        <v>424</v>
      </c>
      <c r="V65" s="18"/>
      <c r="W65" s="18"/>
      <c r="X65" s="18"/>
      <c r="Y65" s="18"/>
      <c r="Z65" s="202" t="s">
        <v>451</v>
      </c>
      <c r="AA65" s="186"/>
      <c r="AB65" s="186"/>
      <c r="AC65" s="186"/>
      <c r="AD65" s="186"/>
      <c r="AE65" s="188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</row>
    <row r="66" spans="1:54" ht="21" customHeight="1" x14ac:dyDescent="0.3">
      <c r="A66" s="1">
        <v>62</v>
      </c>
      <c r="B66" s="204"/>
      <c r="C66" s="204"/>
      <c r="D66" s="16"/>
      <c r="E66" s="17" t="s">
        <v>768</v>
      </c>
      <c r="F66" s="18" t="s">
        <v>769</v>
      </c>
      <c r="G66" s="18" t="s">
        <v>770</v>
      </c>
      <c r="H66" s="18" t="s">
        <v>771</v>
      </c>
      <c r="I66" s="19" t="s">
        <v>130</v>
      </c>
      <c r="J66" s="31" t="s">
        <v>170</v>
      </c>
      <c r="K66" s="18" t="s">
        <v>34</v>
      </c>
      <c r="L66" s="18">
        <v>6</v>
      </c>
      <c r="M66" s="18" t="s">
        <v>772</v>
      </c>
      <c r="N66" s="18" t="s">
        <v>172</v>
      </c>
      <c r="O66" s="18" t="s">
        <v>173</v>
      </c>
      <c r="P66" s="18" t="s">
        <v>174</v>
      </c>
      <c r="Q66" s="18"/>
      <c r="R66" s="18" t="s">
        <v>175</v>
      </c>
      <c r="S66" s="18" t="s">
        <v>176</v>
      </c>
      <c r="T66" s="18"/>
      <c r="U66" s="21" t="s">
        <v>424</v>
      </c>
      <c r="V66" s="18"/>
      <c r="W66" s="18"/>
      <c r="X66" s="18"/>
      <c r="Y66" s="18"/>
      <c r="Z66" s="202" t="s">
        <v>773</v>
      </c>
      <c r="AA66" s="186"/>
      <c r="AB66" s="186"/>
      <c r="AC66" s="186"/>
      <c r="AD66" s="186"/>
      <c r="AE66" s="188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</row>
    <row r="67" spans="1:54" ht="21" customHeight="1" x14ac:dyDescent="0.3">
      <c r="A67" s="1">
        <v>63</v>
      </c>
      <c r="B67" s="204"/>
      <c r="C67" s="204"/>
      <c r="D67" s="16"/>
      <c r="E67" s="17" t="s">
        <v>774</v>
      </c>
      <c r="F67" s="18" t="s">
        <v>775</v>
      </c>
      <c r="G67" s="18" t="s">
        <v>776</v>
      </c>
      <c r="H67" s="18" t="s">
        <v>777</v>
      </c>
      <c r="I67" s="19" t="s">
        <v>778</v>
      </c>
      <c r="J67" s="20" t="s">
        <v>779</v>
      </c>
      <c r="K67" s="18" t="s">
        <v>34</v>
      </c>
      <c r="L67" s="18">
        <v>6</v>
      </c>
      <c r="M67" s="18" t="s">
        <v>780</v>
      </c>
      <c r="N67" s="18" t="s">
        <v>781</v>
      </c>
      <c r="O67" s="18" t="s">
        <v>782</v>
      </c>
      <c r="P67" s="18" t="s">
        <v>783</v>
      </c>
      <c r="Q67" s="18"/>
      <c r="R67" s="18" t="s">
        <v>784</v>
      </c>
      <c r="S67" s="18" t="s">
        <v>785</v>
      </c>
      <c r="T67" s="18" t="s">
        <v>786</v>
      </c>
      <c r="U67" s="21" t="s">
        <v>359</v>
      </c>
      <c r="V67" s="18"/>
      <c r="W67" s="18"/>
      <c r="X67" s="18"/>
      <c r="Y67" s="18"/>
      <c r="Z67" s="202" t="s">
        <v>787</v>
      </c>
      <c r="AA67" s="186"/>
      <c r="AB67" s="186"/>
      <c r="AC67" s="186"/>
      <c r="AD67" s="186"/>
      <c r="AE67" s="188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</row>
    <row r="68" spans="1:54" ht="21" customHeight="1" x14ac:dyDescent="0.3">
      <c r="A68" s="1">
        <v>64</v>
      </c>
      <c r="B68" s="204"/>
      <c r="C68" s="204"/>
      <c r="D68" s="16"/>
      <c r="E68" s="17" t="s">
        <v>788</v>
      </c>
      <c r="F68" s="18" t="s">
        <v>789</v>
      </c>
      <c r="G68" s="18" t="s">
        <v>790</v>
      </c>
      <c r="H68" s="18" t="s">
        <v>791</v>
      </c>
      <c r="I68" s="19" t="s">
        <v>792</v>
      </c>
      <c r="J68" s="20" t="s">
        <v>793</v>
      </c>
      <c r="K68" s="18" t="s">
        <v>34</v>
      </c>
      <c r="L68" s="18">
        <v>6</v>
      </c>
      <c r="M68" s="18" t="s">
        <v>794</v>
      </c>
      <c r="N68" s="18" t="s">
        <v>795</v>
      </c>
      <c r="O68" s="18" t="s">
        <v>796</v>
      </c>
      <c r="P68" s="35" t="s">
        <v>797</v>
      </c>
      <c r="Q68" s="18"/>
      <c r="R68" s="18" t="s">
        <v>798</v>
      </c>
      <c r="S68" s="18" t="s">
        <v>799</v>
      </c>
      <c r="T68" s="18"/>
      <c r="U68" s="21" t="s">
        <v>359</v>
      </c>
      <c r="V68" s="18"/>
      <c r="W68" s="18"/>
      <c r="X68" s="18"/>
      <c r="Y68" s="18"/>
      <c r="Z68" s="202" t="s">
        <v>800</v>
      </c>
      <c r="AA68" s="186"/>
      <c r="AB68" s="186"/>
      <c r="AC68" s="186"/>
      <c r="AD68" s="186"/>
      <c r="AE68" s="188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</row>
    <row r="69" spans="1:54" ht="21" customHeight="1" x14ac:dyDescent="0.3">
      <c r="A69" s="1">
        <v>65</v>
      </c>
      <c r="B69" s="204"/>
      <c r="C69" s="204"/>
      <c r="D69" s="16"/>
      <c r="E69" s="17" t="s">
        <v>801</v>
      </c>
      <c r="F69" s="18" t="s">
        <v>802</v>
      </c>
      <c r="G69" s="18" t="s">
        <v>803</v>
      </c>
      <c r="H69" s="18" t="s">
        <v>804</v>
      </c>
      <c r="I69" s="19" t="s">
        <v>277</v>
      </c>
      <c r="J69" s="20" t="s">
        <v>278</v>
      </c>
      <c r="K69" s="18" t="s">
        <v>51</v>
      </c>
      <c r="L69" s="18">
        <v>6</v>
      </c>
      <c r="M69" s="18" t="s">
        <v>805</v>
      </c>
      <c r="N69" s="18" t="s">
        <v>280</v>
      </c>
      <c r="O69" s="18" t="s">
        <v>281</v>
      </c>
      <c r="P69" s="18" t="s">
        <v>282</v>
      </c>
      <c r="Q69" s="18"/>
      <c r="R69" s="18" t="s">
        <v>283</v>
      </c>
      <c r="S69" s="18" t="s">
        <v>284</v>
      </c>
      <c r="T69" s="18"/>
      <c r="U69" s="21" t="s">
        <v>806</v>
      </c>
      <c r="V69" s="18"/>
      <c r="W69" s="18"/>
      <c r="X69" s="18"/>
      <c r="Y69" s="18"/>
      <c r="Z69" s="202" t="s">
        <v>285</v>
      </c>
      <c r="AA69" s="186"/>
      <c r="AB69" s="186"/>
      <c r="AC69" s="186"/>
      <c r="AD69" s="186"/>
      <c r="AE69" s="188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</row>
    <row r="70" spans="1:54" ht="21" customHeight="1" x14ac:dyDescent="0.3">
      <c r="A70" s="1">
        <v>66</v>
      </c>
      <c r="B70" s="204"/>
      <c r="C70" s="204"/>
      <c r="D70" s="16"/>
      <c r="E70" s="17" t="s">
        <v>807</v>
      </c>
      <c r="F70" s="18" t="s">
        <v>808</v>
      </c>
      <c r="G70" s="18" t="s">
        <v>192</v>
      </c>
      <c r="H70" s="18" t="s">
        <v>809</v>
      </c>
      <c r="I70" s="19" t="s">
        <v>810</v>
      </c>
      <c r="J70" s="20" t="s">
        <v>811</v>
      </c>
      <c r="K70" s="18" t="s">
        <v>51</v>
      </c>
      <c r="L70" s="18">
        <v>6</v>
      </c>
      <c r="M70" s="18" t="s">
        <v>812</v>
      </c>
      <c r="N70" s="18" t="s">
        <v>813</v>
      </c>
      <c r="O70" s="18" t="s">
        <v>814</v>
      </c>
      <c r="P70" s="18" t="s">
        <v>815</v>
      </c>
      <c r="Q70" s="18"/>
      <c r="R70" s="18" t="s">
        <v>816</v>
      </c>
      <c r="S70" s="18" t="s">
        <v>817</v>
      </c>
      <c r="T70" s="18" t="s">
        <v>818</v>
      </c>
      <c r="U70" s="21" t="s">
        <v>819</v>
      </c>
      <c r="V70" s="18"/>
      <c r="W70" s="18"/>
      <c r="X70" s="18"/>
      <c r="Y70" s="18"/>
      <c r="Z70" s="202" t="s">
        <v>820</v>
      </c>
      <c r="AA70" s="186"/>
      <c r="AB70" s="186"/>
      <c r="AC70" s="186"/>
      <c r="AD70" s="186"/>
      <c r="AE70" s="188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</row>
    <row r="71" spans="1:54" ht="21" customHeight="1" x14ac:dyDescent="0.3">
      <c r="A71" s="1">
        <v>67</v>
      </c>
      <c r="B71" s="204"/>
      <c r="C71" s="204"/>
      <c r="D71" s="33" t="s">
        <v>97</v>
      </c>
      <c r="E71" s="17" t="s">
        <v>821</v>
      </c>
      <c r="F71" s="17" t="s">
        <v>822</v>
      </c>
      <c r="G71" s="17" t="s">
        <v>823</v>
      </c>
      <c r="H71" s="17" t="s">
        <v>824</v>
      </c>
      <c r="I71" s="26" t="s">
        <v>206</v>
      </c>
      <c r="J71" s="17" t="s">
        <v>825</v>
      </c>
      <c r="K71" s="17" t="s">
        <v>51</v>
      </c>
      <c r="L71" s="17">
        <v>6</v>
      </c>
      <c r="M71" s="17" t="s">
        <v>826</v>
      </c>
      <c r="N71" s="17" t="s">
        <v>827</v>
      </c>
      <c r="O71" s="17" t="s">
        <v>828</v>
      </c>
      <c r="P71" s="17" t="s">
        <v>829</v>
      </c>
      <c r="Q71" s="17"/>
      <c r="R71" s="17" t="s">
        <v>830</v>
      </c>
      <c r="S71" s="17" t="s">
        <v>831</v>
      </c>
      <c r="T71" s="17" t="s">
        <v>832</v>
      </c>
      <c r="U71" s="30" t="s">
        <v>110</v>
      </c>
      <c r="V71" s="17"/>
      <c r="W71" s="17"/>
      <c r="X71" s="17"/>
      <c r="Y71" s="17"/>
      <c r="Z71" s="195" t="s">
        <v>833</v>
      </c>
      <c r="AA71" s="186"/>
      <c r="AB71" s="186"/>
      <c r="AC71" s="186"/>
      <c r="AD71" s="186"/>
      <c r="AE71" s="188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</row>
    <row r="72" spans="1:54" ht="21" customHeight="1" x14ac:dyDescent="0.3">
      <c r="A72" s="1">
        <v>68</v>
      </c>
      <c r="B72" s="204"/>
      <c r="C72" s="204"/>
      <c r="D72" s="33" t="s">
        <v>97</v>
      </c>
      <c r="E72" s="17" t="s">
        <v>834</v>
      </c>
      <c r="F72" s="17" t="s">
        <v>835</v>
      </c>
      <c r="G72" s="17" t="s">
        <v>836</v>
      </c>
      <c r="H72" s="17" t="s">
        <v>837</v>
      </c>
      <c r="I72" s="26" t="s">
        <v>838</v>
      </c>
      <c r="J72" s="17" t="s">
        <v>839</v>
      </c>
      <c r="K72" s="17" t="s">
        <v>34</v>
      </c>
      <c r="L72" s="17">
        <v>6</v>
      </c>
      <c r="M72" s="17" t="s">
        <v>840</v>
      </c>
      <c r="N72" s="17" t="s">
        <v>841</v>
      </c>
      <c r="O72" s="17" t="s">
        <v>842</v>
      </c>
      <c r="P72" s="17" t="s">
        <v>843</v>
      </c>
      <c r="Q72" s="17"/>
      <c r="R72" s="17" t="s">
        <v>844</v>
      </c>
      <c r="S72" s="17" t="s">
        <v>845</v>
      </c>
      <c r="T72" s="17" t="s">
        <v>846</v>
      </c>
      <c r="U72" s="30" t="s">
        <v>110</v>
      </c>
      <c r="V72" s="17"/>
      <c r="W72" s="17"/>
      <c r="X72" s="17"/>
      <c r="Y72" s="17"/>
      <c r="Z72" s="195" t="s">
        <v>847</v>
      </c>
      <c r="AA72" s="186"/>
      <c r="AB72" s="186"/>
      <c r="AC72" s="186"/>
      <c r="AD72" s="186"/>
      <c r="AE72" s="188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</row>
    <row r="73" spans="1:54" ht="21" customHeight="1" x14ac:dyDescent="0.3">
      <c r="A73" s="1">
        <v>69</v>
      </c>
      <c r="B73" s="204"/>
      <c r="C73" s="204"/>
      <c r="D73" s="33" t="s">
        <v>97</v>
      </c>
      <c r="E73" s="17" t="s">
        <v>848</v>
      </c>
      <c r="F73" s="17" t="s">
        <v>849</v>
      </c>
      <c r="G73" s="17" t="s">
        <v>734</v>
      </c>
      <c r="H73" s="17" t="s">
        <v>850</v>
      </c>
      <c r="I73" s="26" t="s">
        <v>317</v>
      </c>
      <c r="J73" s="17" t="s">
        <v>318</v>
      </c>
      <c r="K73" s="17" t="s">
        <v>34</v>
      </c>
      <c r="L73" s="17">
        <v>6</v>
      </c>
      <c r="M73" s="17" t="s">
        <v>657</v>
      </c>
      <c r="N73" s="17" t="s">
        <v>320</v>
      </c>
      <c r="O73" s="17" t="s">
        <v>321</v>
      </c>
      <c r="P73" s="17" t="s">
        <v>322</v>
      </c>
      <c r="Q73" s="17"/>
      <c r="R73" s="17" t="s">
        <v>323</v>
      </c>
      <c r="S73" s="17" t="s">
        <v>324</v>
      </c>
      <c r="T73" s="17" t="s">
        <v>851</v>
      </c>
      <c r="U73" s="30" t="s">
        <v>110</v>
      </c>
      <c r="V73" s="17"/>
      <c r="W73" s="17"/>
      <c r="X73" s="17"/>
      <c r="Y73" s="17"/>
      <c r="Z73" s="195" t="s">
        <v>325</v>
      </c>
      <c r="AA73" s="186"/>
      <c r="AB73" s="186"/>
      <c r="AC73" s="186"/>
      <c r="AD73" s="186"/>
      <c r="AE73" s="188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</row>
    <row r="74" spans="1:54" ht="21" customHeight="1" x14ac:dyDescent="0.3">
      <c r="A74" s="1">
        <v>70</v>
      </c>
      <c r="B74" s="204"/>
      <c r="C74" s="204"/>
      <c r="D74" s="33" t="s">
        <v>97</v>
      </c>
      <c r="E74" s="17" t="s">
        <v>852</v>
      </c>
      <c r="F74" s="17" t="s">
        <v>853</v>
      </c>
      <c r="G74" s="17" t="s">
        <v>854</v>
      </c>
      <c r="H74" s="17" t="s">
        <v>855</v>
      </c>
      <c r="I74" s="26" t="s">
        <v>856</v>
      </c>
      <c r="J74" s="17" t="s">
        <v>857</v>
      </c>
      <c r="K74" s="17" t="s">
        <v>51</v>
      </c>
      <c r="L74" s="17">
        <v>6</v>
      </c>
      <c r="M74" s="17" t="s">
        <v>858</v>
      </c>
      <c r="N74" s="17" t="s">
        <v>859</v>
      </c>
      <c r="O74" s="17" t="s">
        <v>860</v>
      </c>
      <c r="P74" s="17" t="s">
        <v>861</v>
      </c>
      <c r="Q74" s="17"/>
      <c r="R74" s="17" t="s">
        <v>862</v>
      </c>
      <c r="S74" s="17" t="s">
        <v>863</v>
      </c>
      <c r="T74" s="17" t="s">
        <v>864</v>
      </c>
      <c r="U74" s="30" t="s">
        <v>110</v>
      </c>
      <c r="V74" s="17"/>
      <c r="W74" s="17"/>
      <c r="X74" s="17"/>
      <c r="Y74" s="17"/>
      <c r="Z74" s="195" t="s">
        <v>865</v>
      </c>
      <c r="AA74" s="186"/>
      <c r="AB74" s="186"/>
      <c r="AC74" s="186"/>
      <c r="AD74" s="186"/>
      <c r="AE74" s="188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</row>
    <row r="75" spans="1:54" ht="21" customHeight="1" x14ac:dyDescent="0.3">
      <c r="A75" s="1">
        <v>71</v>
      </c>
      <c r="B75" s="205"/>
      <c r="C75" s="205"/>
      <c r="D75" s="16"/>
      <c r="E75" s="17" t="s">
        <v>866</v>
      </c>
      <c r="F75" s="18" t="s">
        <v>867</v>
      </c>
      <c r="G75" s="18" t="s">
        <v>868</v>
      </c>
      <c r="H75" s="18" t="s">
        <v>869</v>
      </c>
      <c r="I75" s="19" t="s">
        <v>430</v>
      </c>
      <c r="J75" s="20" t="s">
        <v>870</v>
      </c>
      <c r="K75" s="18" t="s">
        <v>51</v>
      </c>
      <c r="L75" s="18">
        <v>6</v>
      </c>
      <c r="M75" s="18" t="s">
        <v>871</v>
      </c>
      <c r="N75" s="18" t="s">
        <v>872</v>
      </c>
      <c r="O75" s="18" t="s">
        <v>873</v>
      </c>
      <c r="P75" s="18" t="s">
        <v>874</v>
      </c>
      <c r="Q75" s="18"/>
      <c r="R75" s="18" t="s">
        <v>875</v>
      </c>
      <c r="S75" s="18" t="s">
        <v>876</v>
      </c>
      <c r="T75" s="18" t="s">
        <v>877</v>
      </c>
      <c r="U75" s="21" t="s">
        <v>522</v>
      </c>
      <c r="V75" s="18"/>
      <c r="W75" s="18" t="s">
        <v>523</v>
      </c>
      <c r="X75" s="18" t="s">
        <v>878</v>
      </c>
      <c r="Y75" s="18" t="s">
        <v>525</v>
      </c>
      <c r="Z75" s="202" t="s">
        <v>879</v>
      </c>
      <c r="AA75" s="186"/>
      <c r="AB75" s="186"/>
      <c r="AC75" s="186"/>
      <c r="AD75" s="186"/>
      <c r="AE75" s="188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</row>
    <row r="76" spans="1:54" ht="21" customHeight="1" x14ac:dyDescent="0.3">
      <c r="A76" s="1">
        <v>72</v>
      </c>
      <c r="B76" s="211" t="str">
        <f>"M7                 ("&amp;COUNTA(E76:E87)&amp;")"</f>
        <v>M7                 (12)</v>
      </c>
      <c r="C76" s="209" t="s">
        <v>880</v>
      </c>
      <c r="D76" s="16"/>
      <c r="E76" s="18" t="s">
        <v>881</v>
      </c>
      <c r="F76" s="18" t="s">
        <v>882</v>
      </c>
      <c r="G76" s="18" t="s">
        <v>883</v>
      </c>
      <c r="H76" s="18" t="s">
        <v>884</v>
      </c>
      <c r="I76" s="19" t="s">
        <v>247</v>
      </c>
      <c r="J76" s="20" t="s">
        <v>885</v>
      </c>
      <c r="K76" s="18" t="s">
        <v>51</v>
      </c>
      <c r="L76" s="18">
        <v>7</v>
      </c>
      <c r="M76" s="18" t="s">
        <v>886</v>
      </c>
      <c r="N76" s="18" t="s">
        <v>887</v>
      </c>
      <c r="O76" s="18" t="s">
        <v>888</v>
      </c>
      <c r="P76" s="18" t="s">
        <v>889</v>
      </c>
      <c r="Q76" s="18"/>
      <c r="R76" s="18" t="s">
        <v>890</v>
      </c>
      <c r="S76" s="18" t="s">
        <v>891</v>
      </c>
      <c r="T76" s="18" t="s">
        <v>415</v>
      </c>
      <c r="U76" s="21" t="s">
        <v>892</v>
      </c>
      <c r="V76" s="18"/>
      <c r="W76" s="18"/>
      <c r="X76" s="18"/>
      <c r="Y76" s="18"/>
      <c r="Z76" s="202" t="s">
        <v>893</v>
      </c>
      <c r="AA76" s="186"/>
      <c r="AB76" s="186"/>
      <c r="AC76" s="186"/>
      <c r="AD76" s="186"/>
      <c r="AE76" s="188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</row>
    <row r="77" spans="1:54" ht="21" customHeight="1" x14ac:dyDescent="0.3">
      <c r="A77" s="1">
        <v>73</v>
      </c>
      <c r="B77" s="204"/>
      <c r="C77" s="204"/>
      <c r="D77" s="16"/>
      <c r="E77" s="18" t="s">
        <v>894</v>
      </c>
      <c r="F77" s="18" t="s">
        <v>895</v>
      </c>
      <c r="G77" s="18" t="s">
        <v>896</v>
      </c>
      <c r="H77" s="18" t="s">
        <v>897</v>
      </c>
      <c r="I77" s="19" t="s">
        <v>898</v>
      </c>
      <c r="J77" s="20" t="s">
        <v>899</v>
      </c>
      <c r="K77" s="18" t="s">
        <v>51</v>
      </c>
      <c r="L77" s="18">
        <v>7</v>
      </c>
      <c r="M77" s="18" t="s">
        <v>900</v>
      </c>
      <c r="N77" s="18" t="s">
        <v>901</v>
      </c>
      <c r="O77" s="18" t="s">
        <v>902</v>
      </c>
      <c r="P77" s="18" t="s">
        <v>903</v>
      </c>
      <c r="Q77" s="18"/>
      <c r="R77" s="18" t="s">
        <v>904</v>
      </c>
      <c r="S77" s="18" t="s">
        <v>905</v>
      </c>
      <c r="T77" s="18" t="s">
        <v>906</v>
      </c>
      <c r="U77" s="21" t="s">
        <v>907</v>
      </c>
      <c r="V77" s="18"/>
      <c r="W77" s="18" t="s">
        <v>908</v>
      </c>
      <c r="X77" s="18" t="s">
        <v>909</v>
      </c>
      <c r="Y77" s="18"/>
      <c r="Z77" s="202" t="s">
        <v>910</v>
      </c>
      <c r="AA77" s="186"/>
      <c r="AB77" s="186"/>
      <c r="AC77" s="186"/>
      <c r="AD77" s="186"/>
      <c r="AE77" s="188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</row>
    <row r="78" spans="1:54" ht="21" customHeight="1" x14ac:dyDescent="0.3">
      <c r="A78" s="1">
        <v>74</v>
      </c>
      <c r="B78" s="204"/>
      <c r="C78" s="204"/>
      <c r="D78" s="16"/>
      <c r="E78" s="17" t="s">
        <v>911</v>
      </c>
      <c r="F78" s="18" t="s">
        <v>912</v>
      </c>
      <c r="G78" s="18" t="s">
        <v>688</v>
      </c>
      <c r="H78" s="18" t="s">
        <v>913</v>
      </c>
      <c r="I78" s="19" t="s">
        <v>914</v>
      </c>
      <c r="J78" s="20" t="s">
        <v>915</v>
      </c>
      <c r="K78" s="18" t="s">
        <v>34</v>
      </c>
      <c r="L78" s="18">
        <v>7</v>
      </c>
      <c r="M78" s="18" t="s">
        <v>916</v>
      </c>
      <c r="N78" s="18" t="s">
        <v>917</v>
      </c>
      <c r="O78" s="18" t="s">
        <v>918</v>
      </c>
      <c r="P78" s="18" t="s">
        <v>919</v>
      </c>
      <c r="Q78" s="18"/>
      <c r="R78" s="18" t="s">
        <v>920</v>
      </c>
      <c r="S78" s="18" t="s">
        <v>921</v>
      </c>
      <c r="T78" s="18" t="s">
        <v>922</v>
      </c>
      <c r="U78" s="21" t="s">
        <v>923</v>
      </c>
      <c r="V78" s="18"/>
      <c r="W78" s="18"/>
      <c r="X78" s="18"/>
      <c r="Y78" s="18"/>
      <c r="Z78" s="202" t="s">
        <v>924</v>
      </c>
      <c r="AA78" s="186"/>
      <c r="AB78" s="186"/>
      <c r="AC78" s="186"/>
      <c r="AD78" s="186"/>
      <c r="AE78" s="188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</row>
    <row r="79" spans="1:54" ht="21" customHeight="1" x14ac:dyDescent="0.3">
      <c r="A79" s="1">
        <v>75</v>
      </c>
      <c r="B79" s="204"/>
      <c r="C79" s="204"/>
      <c r="D79" s="16"/>
      <c r="E79" s="17" t="s">
        <v>925</v>
      </c>
      <c r="F79" s="18" t="s">
        <v>926</v>
      </c>
      <c r="G79" s="18" t="s">
        <v>927</v>
      </c>
      <c r="H79" s="18" t="s">
        <v>928</v>
      </c>
      <c r="I79" s="19" t="s">
        <v>929</v>
      </c>
      <c r="J79" s="20" t="s">
        <v>930</v>
      </c>
      <c r="K79" s="18" t="s">
        <v>34</v>
      </c>
      <c r="L79" s="18">
        <v>7</v>
      </c>
      <c r="M79" s="18" t="s">
        <v>931</v>
      </c>
      <c r="N79" s="18" t="s">
        <v>932</v>
      </c>
      <c r="O79" s="18" t="s">
        <v>933</v>
      </c>
      <c r="P79" s="18" t="s">
        <v>934</v>
      </c>
      <c r="Q79" s="18"/>
      <c r="R79" s="18" t="s">
        <v>935</v>
      </c>
      <c r="S79" s="18" t="s">
        <v>936</v>
      </c>
      <c r="T79" s="18" t="s">
        <v>937</v>
      </c>
      <c r="U79" s="21" t="s">
        <v>359</v>
      </c>
      <c r="V79" s="18"/>
      <c r="W79" s="18"/>
      <c r="X79" s="18"/>
      <c r="Y79" s="18"/>
      <c r="Z79" s="202" t="s">
        <v>938</v>
      </c>
      <c r="AA79" s="186"/>
      <c r="AB79" s="186"/>
      <c r="AC79" s="186"/>
      <c r="AD79" s="186"/>
      <c r="AE79" s="188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</row>
    <row r="80" spans="1:54" ht="21" customHeight="1" x14ac:dyDescent="0.3">
      <c r="A80" s="1">
        <v>76</v>
      </c>
      <c r="B80" s="204"/>
      <c r="C80" s="204"/>
      <c r="D80" s="16"/>
      <c r="E80" s="17" t="s">
        <v>939</v>
      </c>
      <c r="F80" s="18" t="s">
        <v>940</v>
      </c>
      <c r="G80" s="18" t="s">
        <v>941</v>
      </c>
      <c r="H80" s="18" t="s">
        <v>942</v>
      </c>
      <c r="I80" s="19" t="s">
        <v>792</v>
      </c>
      <c r="J80" s="20" t="s">
        <v>793</v>
      </c>
      <c r="K80" s="18" t="s">
        <v>51</v>
      </c>
      <c r="L80" s="18">
        <v>7</v>
      </c>
      <c r="M80" s="18" t="s">
        <v>943</v>
      </c>
      <c r="N80" s="18" t="s">
        <v>795</v>
      </c>
      <c r="O80" s="18" t="s">
        <v>796</v>
      </c>
      <c r="P80" s="35" t="s">
        <v>944</v>
      </c>
      <c r="Q80" s="18"/>
      <c r="R80" s="18" t="s">
        <v>798</v>
      </c>
      <c r="S80" s="18" t="s">
        <v>799</v>
      </c>
      <c r="T80" s="18"/>
      <c r="U80" s="21" t="s">
        <v>359</v>
      </c>
      <c r="V80" s="18"/>
      <c r="W80" s="18"/>
      <c r="X80" s="18"/>
      <c r="Y80" s="18"/>
      <c r="Z80" s="202" t="s">
        <v>800</v>
      </c>
      <c r="AA80" s="186"/>
      <c r="AB80" s="186"/>
      <c r="AC80" s="186"/>
      <c r="AD80" s="186"/>
      <c r="AE80" s="188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</row>
    <row r="81" spans="1:54" ht="21" customHeight="1" x14ac:dyDescent="0.3">
      <c r="A81" s="1">
        <v>77</v>
      </c>
      <c r="B81" s="204"/>
      <c r="C81" s="204"/>
      <c r="D81" s="16"/>
      <c r="E81" s="24" t="s">
        <v>945</v>
      </c>
      <c r="F81" s="18" t="s">
        <v>946</v>
      </c>
      <c r="G81" s="18" t="s">
        <v>947</v>
      </c>
      <c r="H81" s="18" t="s">
        <v>948</v>
      </c>
      <c r="I81" s="19" t="s">
        <v>571</v>
      </c>
      <c r="J81" s="31" t="s">
        <v>572</v>
      </c>
      <c r="K81" s="18" t="s">
        <v>51</v>
      </c>
      <c r="L81" s="18">
        <v>7</v>
      </c>
      <c r="M81" s="18" t="s">
        <v>949</v>
      </c>
      <c r="N81" s="18" t="s">
        <v>574</v>
      </c>
      <c r="O81" s="18" t="s">
        <v>575</v>
      </c>
      <c r="P81" s="18" t="s">
        <v>576</v>
      </c>
      <c r="Q81" s="18"/>
      <c r="R81" s="18" t="s">
        <v>577</v>
      </c>
      <c r="S81" s="18" t="s">
        <v>578</v>
      </c>
      <c r="T81" s="18" t="s">
        <v>950</v>
      </c>
      <c r="U81" s="21" t="s">
        <v>424</v>
      </c>
      <c r="V81" s="18"/>
      <c r="W81" s="18"/>
      <c r="X81" s="18"/>
      <c r="Y81" s="18"/>
      <c r="Z81" s="202" t="s">
        <v>951</v>
      </c>
      <c r="AA81" s="186"/>
      <c r="AB81" s="186"/>
      <c r="AC81" s="186"/>
      <c r="AD81" s="186"/>
      <c r="AE81" s="188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</row>
    <row r="82" spans="1:54" ht="21" customHeight="1" x14ac:dyDescent="0.3">
      <c r="A82" s="1">
        <v>78</v>
      </c>
      <c r="B82" s="204"/>
      <c r="C82" s="204"/>
      <c r="D82" s="16"/>
      <c r="E82" s="24" t="s">
        <v>952</v>
      </c>
      <c r="F82" s="18" t="s">
        <v>953</v>
      </c>
      <c r="G82" s="18" t="s">
        <v>954</v>
      </c>
      <c r="H82" s="18" t="s">
        <v>955</v>
      </c>
      <c r="I82" s="19" t="s">
        <v>956</v>
      </c>
      <c r="J82" s="20" t="s">
        <v>957</v>
      </c>
      <c r="K82" s="18" t="s">
        <v>51</v>
      </c>
      <c r="L82" s="18">
        <v>7</v>
      </c>
      <c r="M82" s="18" t="s">
        <v>958</v>
      </c>
      <c r="N82" s="18" t="s">
        <v>959</v>
      </c>
      <c r="O82" s="18" t="s">
        <v>960</v>
      </c>
      <c r="P82" s="18" t="s">
        <v>961</v>
      </c>
      <c r="Q82" s="18"/>
      <c r="R82" s="18" t="s">
        <v>962</v>
      </c>
      <c r="S82" s="18" t="s">
        <v>963</v>
      </c>
      <c r="T82" s="18" t="s">
        <v>964</v>
      </c>
      <c r="U82" s="21" t="s">
        <v>58</v>
      </c>
      <c r="V82" s="18"/>
      <c r="W82" s="18"/>
      <c r="X82" s="18"/>
      <c r="Y82" s="18"/>
      <c r="Z82" s="202" t="s">
        <v>965</v>
      </c>
      <c r="AA82" s="186"/>
      <c r="AB82" s="186"/>
      <c r="AC82" s="186"/>
      <c r="AD82" s="186"/>
      <c r="AE82" s="188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</row>
    <row r="83" spans="1:54" ht="21" customHeight="1" x14ac:dyDescent="0.3">
      <c r="A83" s="1">
        <v>79</v>
      </c>
      <c r="B83" s="204"/>
      <c r="C83" s="204"/>
      <c r="D83" s="16"/>
      <c r="E83" s="24" t="s">
        <v>966</v>
      </c>
      <c r="F83" s="18" t="s">
        <v>967</v>
      </c>
      <c r="G83" s="18" t="s">
        <v>968</v>
      </c>
      <c r="H83" s="18" t="s">
        <v>969</v>
      </c>
      <c r="I83" s="19" t="s">
        <v>970</v>
      </c>
      <c r="J83" s="20" t="s">
        <v>971</v>
      </c>
      <c r="K83" s="18" t="s">
        <v>51</v>
      </c>
      <c r="L83" s="18">
        <v>7</v>
      </c>
      <c r="M83" s="18" t="s">
        <v>972</v>
      </c>
      <c r="N83" s="18" t="s">
        <v>973</v>
      </c>
      <c r="O83" s="18" t="s">
        <v>974</v>
      </c>
      <c r="P83" s="18" t="s">
        <v>975</v>
      </c>
      <c r="Q83" s="18"/>
      <c r="R83" s="18" t="s">
        <v>976</v>
      </c>
      <c r="S83" s="18" t="s">
        <v>977</v>
      </c>
      <c r="T83" s="18" t="s">
        <v>978</v>
      </c>
      <c r="U83" s="21" t="s">
        <v>58</v>
      </c>
      <c r="V83" s="18"/>
      <c r="W83" s="18"/>
      <c r="X83" s="18"/>
      <c r="Y83" s="18"/>
      <c r="Z83" s="202" t="s">
        <v>979</v>
      </c>
      <c r="AA83" s="186"/>
      <c r="AB83" s="186"/>
      <c r="AC83" s="186"/>
      <c r="AD83" s="186"/>
      <c r="AE83" s="188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</row>
    <row r="84" spans="1:54" ht="21" customHeight="1" x14ac:dyDescent="0.3">
      <c r="A84" s="1">
        <v>80</v>
      </c>
      <c r="B84" s="204"/>
      <c r="C84" s="204"/>
      <c r="D84" s="33" t="s">
        <v>97</v>
      </c>
      <c r="E84" s="17" t="s">
        <v>980</v>
      </c>
      <c r="F84" s="17" t="s">
        <v>981</v>
      </c>
      <c r="G84" s="17" t="s">
        <v>982</v>
      </c>
      <c r="H84" s="17" t="s">
        <v>983</v>
      </c>
      <c r="I84" s="26" t="s">
        <v>984</v>
      </c>
      <c r="J84" s="17" t="s">
        <v>985</v>
      </c>
      <c r="K84" s="17" t="s">
        <v>34</v>
      </c>
      <c r="L84" s="17">
        <v>7</v>
      </c>
      <c r="M84" s="17" t="s">
        <v>986</v>
      </c>
      <c r="N84" s="17" t="s">
        <v>987</v>
      </c>
      <c r="O84" s="17" t="s">
        <v>988</v>
      </c>
      <c r="P84" s="17" t="s">
        <v>989</v>
      </c>
      <c r="Q84" s="17"/>
      <c r="R84" s="17" t="s">
        <v>990</v>
      </c>
      <c r="S84" s="17" t="s">
        <v>991</v>
      </c>
      <c r="T84" s="17" t="s">
        <v>992</v>
      </c>
      <c r="U84" s="30" t="s">
        <v>110</v>
      </c>
      <c r="V84" s="17"/>
      <c r="W84" s="17"/>
      <c r="X84" s="17"/>
      <c r="Y84" s="17"/>
      <c r="Z84" s="195" t="s">
        <v>993</v>
      </c>
      <c r="AA84" s="186"/>
      <c r="AB84" s="186"/>
      <c r="AC84" s="186"/>
      <c r="AD84" s="186"/>
      <c r="AE84" s="188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</row>
    <row r="85" spans="1:54" ht="21" customHeight="1" x14ac:dyDescent="0.3">
      <c r="A85" s="1">
        <v>81</v>
      </c>
      <c r="B85" s="204"/>
      <c r="C85" s="204"/>
      <c r="D85" s="33" t="s">
        <v>97</v>
      </c>
      <c r="E85" s="24" t="s">
        <v>994</v>
      </c>
      <c r="F85" s="17" t="s">
        <v>995</v>
      </c>
      <c r="G85" s="17" t="s">
        <v>996</v>
      </c>
      <c r="H85" s="17" t="s">
        <v>997</v>
      </c>
      <c r="I85" s="26" t="s">
        <v>130</v>
      </c>
      <c r="J85" s="17" t="s">
        <v>595</v>
      </c>
      <c r="K85" s="17" t="s">
        <v>34</v>
      </c>
      <c r="L85" s="17">
        <v>7</v>
      </c>
      <c r="M85" s="17" t="s">
        <v>998</v>
      </c>
      <c r="N85" s="17" t="s">
        <v>597</v>
      </c>
      <c r="O85" s="17" t="s">
        <v>598</v>
      </c>
      <c r="P85" s="17" t="s">
        <v>599</v>
      </c>
      <c r="Q85" s="34"/>
      <c r="R85" s="17" t="s">
        <v>600</v>
      </c>
      <c r="S85" s="17" t="s">
        <v>601</v>
      </c>
      <c r="T85" s="34"/>
      <c r="U85" s="30" t="s">
        <v>602</v>
      </c>
      <c r="V85" s="34"/>
      <c r="W85" s="34"/>
      <c r="X85" s="34"/>
      <c r="Y85" s="34"/>
      <c r="Z85" s="195" t="s">
        <v>603</v>
      </c>
      <c r="AA85" s="186"/>
      <c r="AB85" s="186"/>
      <c r="AC85" s="186"/>
      <c r="AD85" s="186"/>
      <c r="AE85" s="188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</row>
    <row r="86" spans="1:54" ht="21" customHeight="1" x14ac:dyDescent="0.3">
      <c r="A86" s="1">
        <v>82</v>
      </c>
      <c r="B86" s="204"/>
      <c r="C86" s="204"/>
      <c r="D86" s="33" t="s">
        <v>97</v>
      </c>
      <c r="E86" s="17" t="s">
        <v>999</v>
      </c>
      <c r="F86" s="17" t="s">
        <v>1000</v>
      </c>
      <c r="G86" s="17" t="s">
        <v>1001</v>
      </c>
      <c r="H86" s="17" t="s">
        <v>1002</v>
      </c>
      <c r="I86" s="26" t="s">
        <v>317</v>
      </c>
      <c r="J86" s="17" t="s">
        <v>318</v>
      </c>
      <c r="K86" s="17" t="s">
        <v>34</v>
      </c>
      <c r="L86" s="17">
        <v>7</v>
      </c>
      <c r="M86" s="17" t="s">
        <v>1003</v>
      </c>
      <c r="N86" s="17" t="s">
        <v>320</v>
      </c>
      <c r="O86" s="17" t="s">
        <v>321</v>
      </c>
      <c r="P86" s="17" t="s">
        <v>322</v>
      </c>
      <c r="Q86" s="17"/>
      <c r="R86" s="17" t="s">
        <v>323</v>
      </c>
      <c r="S86" s="17" t="s">
        <v>324</v>
      </c>
      <c r="T86" s="17" t="s">
        <v>1004</v>
      </c>
      <c r="U86" s="30" t="s">
        <v>110</v>
      </c>
      <c r="V86" s="17"/>
      <c r="W86" s="17"/>
      <c r="X86" s="17"/>
      <c r="Y86" s="17"/>
      <c r="Z86" s="195" t="s">
        <v>325</v>
      </c>
      <c r="AA86" s="186"/>
      <c r="AB86" s="186"/>
      <c r="AC86" s="186"/>
      <c r="AD86" s="186"/>
      <c r="AE86" s="188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</row>
    <row r="87" spans="1:54" ht="21" customHeight="1" x14ac:dyDescent="0.3">
      <c r="A87" s="1">
        <v>83</v>
      </c>
      <c r="B87" s="205"/>
      <c r="C87" s="205"/>
      <c r="D87" s="16"/>
      <c r="E87" s="17" t="s">
        <v>1005</v>
      </c>
      <c r="F87" s="18" t="s">
        <v>1006</v>
      </c>
      <c r="G87" s="18" t="s">
        <v>836</v>
      </c>
      <c r="H87" s="18" t="s">
        <v>1007</v>
      </c>
      <c r="I87" s="19" t="s">
        <v>642</v>
      </c>
      <c r="J87" s="20" t="s">
        <v>643</v>
      </c>
      <c r="K87" s="18" t="s">
        <v>34</v>
      </c>
      <c r="L87" s="18">
        <v>7</v>
      </c>
      <c r="M87" s="18" t="s">
        <v>1008</v>
      </c>
      <c r="N87" s="18" t="s">
        <v>645</v>
      </c>
      <c r="O87" s="18" t="s">
        <v>646</v>
      </c>
      <c r="P87" s="18" t="s">
        <v>647</v>
      </c>
      <c r="Q87" s="18"/>
      <c r="R87" s="18" t="s">
        <v>648</v>
      </c>
      <c r="S87" s="18" t="s">
        <v>649</v>
      </c>
      <c r="T87" s="18" t="s">
        <v>1009</v>
      </c>
      <c r="U87" s="21" t="s">
        <v>650</v>
      </c>
      <c r="V87" s="18"/>
      <c r="W87" s="18"/>
      <c r="X87" s="18" t="s">
        <v>650</v>
      </c>
      <c r="Y87" s="18"/>
      <c r="Z87" s="202" t="s">
        <v>651</v>
      </c>
      <c r="AA87" s="186"/>
      <c r="AB87" s="186"/>
      <c r="AC87" s="186"/>
      <c r="AD87" s="186"/>
      <c r="AE87" s="188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</row>
    <row r="88" spans="1:54" ht="21" customHeight="1" x14ac:dyDescent="0.3">
      <c r="A88" s="1">
        <v>84</v>
      </c>
      <c r="B88" s="211" t="str">
        <f>"M8                ("&amp;COUNTA(E88:E104)&amp;")"</f>
        <v>M8                (17)</v>
      </c>
      <c r="C88" s="206" t="s">
        <v>1010</v>
      </c>
      <c r="D88" s="16"/>
      <c r="E88" s="20" t="s">
        <v>1011</v>
      </c>
      <c r="F88" s="18" t="s">
        <v>1012</v>
      </c>
      <c r="G88" s="18" t="s">
        <v>1013</v>
      </c>
      <c r="H88" s="18" t="s">
        <v>1014</v>
      </c>
      <c r="I88" s="19" t="s">
        <v>456</v>
      </c>
      <c r="J88" s="31" t="s">
        <v>457</v>
      </c>
      <c r="K88" s="18" t="s">
        <v>51</v>
      </c>
      <c r="L88" s="18">
        <v>8</v>
      </c>
      <c r="M88" s="18" t="s">
        <v>1015</v>
      </c>
      <c r="N88" s="18" t="s">
        <v>459</v>
      </c>
      <c r="O88" s="18" t="s">
        <v>460</v>
      </c>
      <c r="P88" s="18" t="s">
        <v>461</v>
      </c>
      <c r="Q88" s="18"/>
      <c r="R88" s="18" t="s">
        <v>462</v>
      </c>
      <c r="S88" s="18" t="s">
        <v>1016</v>
      </c>
      <c r="T88" s="18" t="s">
        <v>1017</v>
      </c>
      <c r="U88" s="21" t="s">
        <v>1018</v>
      </c>
      <c r="V88" s="18"/>
      <c r="W88" s="18"/>
      <c r="X88" s="18"/>
      <c r="Y88" s="18"/>
      <c r="Z88" s="202"/>
      <c r="AA88" s="186"/>
      <c r="AB88" s="186"/>
      <c r="AC88" s="186"/>
      <c r="AD88" s="186"/>
      <c r="AE88" s="188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</row>
    <row r="89" spans="1:54" ht="21" customHeight="1" x14ac:dyDescent="0.3">
      <c r="A89" s="1">
        <v>85</v>
      </c>
      <c r="B89" s="204"/>
      <c r="C89" s="204"/>
      <c r="D89" s="16"/>
      <c r="E89" s="18" t="s">
        <v>1019</v>
      </c>
      <c r="F89" s="18" t="s">
        <v>1020</v>
      </c>
      <c r="G89" s="18" t="s">
        <v>1021</v>
      </c>
      <c r="H89" s="18" t="s">
        <v>1022</v>
      </c>
      <c r="I89" s="19" t="s">
        <v>1023</v>
      </c>
      <c r="J89" s="20" t="s">
        <v>1024</v>
      </c>
      <c r="K89" s="18" t="s">
        <v>34</v>
      </c>
      <c r="L89" s="18">
        <v>8</v>
      </c>
      <c r="M89" s="18" t="s">
        <v>1025</v>
      </c>
      <c r="N89" s="18" t="s">
        <v>1026</v>
      </c>
      <c r="O89" s="18" t="s">
        <v>1027</v>
      </c>
      <c r="P89" s="18" t="s">
        <v>1028</v>
      </c>
      <c r="Q89" s="18"/>
      <c r="R89" s="18" t="s">
        <v>1029</v>
      </c>
      <c r="S89" s="18" t="s">
        <v>1030</v>
      </c>
      <c r="T89" s="18" t="s">
        <v>1031</v>
      </c>
      <c r="U89" s="21" t="s">
        <v>1032</v>
      </c>
      <c r="V89" s="18"/>
      <c r="W89" s="18"/>
      <c r="X89" s="18"/>
      <c r="Y89" s="18"/>
      <c r="Z89" s="202" t="s">
        <v>1033</v>
      </c>
      <c r="AA89" s="186"/>
      <c r="AB89" s="186"/>
      <c r="AC89" s="186"/>
      <c r="AD89" s="186"/>
      <c r="AE89" s="188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spans="1:54" ht="21" customHeight="1" x14ac:dyDescent="0.3">
      <c r="A90" s="1">
        <v>86</v>
      </c>
      <c r="B90" s="204"/>
      <c r="C90" s="204"/>
      <c r="D90" s="16"/>
      <c r="E90" s="17" t="s">
        <v>1034</v>
      </c>
      <c r="F90" s="18" t="s">
        <v>1035</v>
      </c>
      <c r="G90" s="18" t="s">
        <v>1036</v>
      </c>
      <c r="H90" s="18" t="s">
        <v>1037</v>
      </c>
      <c r="I90" s="19" t="s">
        <v>1038</v>
      </c>
      <c r="J90" s="20" t="s">
        <v>1039</v>
      </c>
      <c r="K90" s="18" t="s">
        <v>51</v>
      </c>
      <c r="L90" s="18">
        <v>8</v>
      </c>
      <c r="M90" s="18" t="s">
        <v>1040</v>
      </c>
      <c r="N90" s="18" t="s">
        <v>1041</v>
      </c>
      <c r="O90" s="18" t="s">
        <v>1042</v>
      </c>
      <c r="P90" s="18" t="s">
        <v>1043</v>
      </c>
      <c r="Q90" s="18"/>
      <c r="R90" s="18" t="s">
        <v>1044</v>
      </c>
      <c r="S90" s="18" t="s">
        <v>1045</v>
      </c>
      <c r="T90" s="18" t="s">
        <v>1046</v>
      </c>
      <c r="U90" s="21" t="s">
        <v>522</v>
      </c>
      <c r="V90" s="18"/>
      <c r="W90" s="18"/>
      <c r="X90" s="18" t="s">
        <v>1047</v>
      </c>
      <c r="Y90" s="18"/>
      <c r="Z90" s="202" t="s">
        <v>1048</v>
      </c>
      <c r="AA90" s="186"/>
      <c r="AB90" s="186"/>
      <c r="AC90" s="186"/>
      <c r="AD90" s="186"/>
      <c r="AE90" s="188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</row>
    <row r="91" spans="1:54" ht="21" customHeight="1" x14ac:dyDescent="0.3">
      <c r="A91" s="1">
        <v>87</v>
      </c>
      <c r="B91" s="204"/>
      <c r="C91" s="204"/>
      <c r="D91" s="16"/>
      <c r="E91" s="17" t="s">
        <v>1049</v>
      </c>
      <c r="F91" s="18" t="s">
        <v>1050</v>
      </c>
      <c r="G91" s="18" t="s">
        <v>1051</v>
      </c>
      <c r="H91" s="18" t="s">
        <v>1052</v>
      </c>
      <c r="I91" s="19" t="s">
        <v>838</v>
      </c>
      <c r="J91" s="20" t="s">
        <v>1053</v>
      </c>
      <c r="K91" s="18" t="s">
        <v>34</v>
      </c>
      <c r="L91" s="18">
        <v>8</v>
      </c>
      <c r="M91" s="18" t="s">
        <v>1054</v>
      </c>
      <c r="N91" s="18" t="s">
        <v>1055</v>
      </c>
      <c r="O91" s="18" t="s">
        <v>1056</v>
      </c>
      <c r="P91" s="37" t="s">
        <v>1057</v>
      </c>
      <c r="Q91" s="18"/>
      <c r="R91" s="18" t="s">
        <v>1058</v>
      </c>
      <c r="S91" s="18" t="s">
        <v>1059</v>
      </c>
      <c r="T91" s="18" t="s">
        <v>1060</v>
      </c>
      <c r="U91" s="21" t="s">
        <v>1061</v>
      </c>
      <c r="V91" s="18"/>
      <c r="W91" s="18"/>
      <c r="X91" s="18" t="s">
        <v>1062</v>
      </c>
      <c r="Y91" s="18" t="s">
        <v>1062</v>
      </c>
      <c r="Z91" s="202" t="s">
        <v>1061</v>
      </c>
      <c r="AA91" s="186"/>
      <c r="AB91" s="186"/>
      <c r="AC91" s="186"/>
      <c r="AD91" s="186"/>
      <c r="AE91" s="188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</row>
    <row r="92" spans="1:54" ht="21" customHeight="1" x14ac:dyDescent="0.3">
      <c r="A92" s="1">
        <v>88</v>
      </c>
      <c r="B92" s="204"/>
      <c r="C92" s="204"/>
      <c r="D92" s="16"/>
      <c r="E92" s="38" t="s">
        <v>1063</v>
      </c>
      <c r="F92" s="18" t="s">
        <v>1064</v>
      </c>
      <c r="G92" s="18" t="s">
        <v>1065</v>
      </c>
      <c r="H92" s="18" t="s">
        <v>1066</v>
      </c>
      <c r="I92" s="19" t="s">
        <v>64</v>
      </c>
      <c r="J92" s="20" t="s">
        <v>1067</v>
      </c>
      <c r="K92" s="18" t="s">
        <v>51</v>
      </c>
      <c r="L92" s="18">
        <v>8</v>
      </c>
      <c r="M92" s="18" t="s">
        <v>1068</v>
      </c>
      <c r="N92" s="18" t="s">
        <v>1069</v>
      </c>
      <c r="O92" s="18" t="s">
        <v>1070</v>
      </c>
      <c r="P92" s="18" t="s">
        <v>1071</v>
      </c>
      <c r="Q92" s="18"/>
      <c r="R92" s="18" t="s">
        <v>1072</v>
      </c>
      <c r="S92" s="18" t="s">
        <v>1073</v>
      </c>
      <c r="T92" s="18" t="s">
        <v>1074</v>
      </c>
      <c r="U92" s="21" t="s">
        <v>1075</v>
      </c>
      <c r="V92" s="18"/>
      <c r="W92" s="18" t="s">
        <v>400</v>
      </c>
      <c r="X92" s="18"/>
      <c r="Y92" s="18"/>
      <c r="Z92" s="202" t="s">
        <v>401</v>
      </c>
      <c r="AA92" s="186"/>
      <c r="AB92" s="186"/>
      <c r="AC92" s="186"/>
      <c r="AD92" s="186"/>
      <c r="AE92" s="188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</row>
    <row r="93" spans="1:54" ht="21" customHeight="1" x14ac:dyDescent="0.3">
      <c r="A93" s="1">
        <v>89</v>
      </c>
      <c r="B93" s="204"/>
      <c r="C93" s="204"/>
      <c r="D93" s="16"/>
      <c r="E93" s="17" t="s">
        <v>1076</v>
      </c>
      <c r="F93" s="18" t="s">
        <v>1077</v>
      </c>
      <c r="G93" s="18" t="s">
        <v>275</v>
      </c>
      <c r="H93" s="18" t="s">
        <v>1078</v>
      </c>
      <c r="I93" s="19" t="s">
        <v>32</v>
      </c>
      <c r="J93" s="20" t="s">
        <v>1079</v>
      </c>
      <c r="K93" s="18" t="s">
        <v>51</v>
      </c>
      <c r="L93" s="18">
        <v>8</v>
      </c>
      <c r="M93" s="18" t="s">
        <v>1080</v>
      </c>
      <c r="N93" s="18" t="s">
        <v>1081</v>
      </c>
      <c r="O93" s="18" t="s">
        <v>1082</v>
      </c>
      <c r="P93" s="18" t="s">
        <v>1083</v>
      </c>
      <c r="Q93" s="18"/>
      <c r="R93" s="18" t="s">
        <v>1084</v>
      </c>
      <c r="S93" s="18" t="s">
        <v>1085</v>
      </c>
      <c r="T93" s="18" t="s">
        <v>1086</v>
      </c>
      <c r="U93" s="21" t="s">
        <v>1087</v>
      </c>
      <c r="V93" s="18"/>
      <c r="W93" s="18"/>
      <c r="X93" s="18"/>
      <c r="Y93" s="18"/>
      <c r="Z93" s="202" t="s">
        <v>1088</v>
      </c>
      <c r="AA93" s="186"/>
      <c r="AB93" s="186"/>
      <c r="AC93" s="186"/>
      <c r="AD93" s="186"/>
      <c r="AE93" s="188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</row>
    <row r="94" spans="1:54" ht="21" customHeight="1" x14ac:dyDescent="0.3">
      <c r="A94" s="1">
        <v>90</v>
      </c>
      <c r="B94" s="204"/>
      <c r="C94" s="204"/>
      <c r="D94" s="16"/>
      <c r="E94" s="17" t="s">
        <v>1089</v>
      </c>
      <c r="F94" s="18" t="s">
        <v>1090</v>
      </c>
      <c r="G94" s="18" t="s">
        <v>1091</v>
      </c>
      <c r="H94" s="18" t="s">
        <v>1092</v>
      </c>
      <c r="I94" s="19" t="s">
        <v>759</v>
      </c>
      <c r="J94" s="20" t="s">
        <v>1093</v>
      </c>
      <c r="K94" s="18" t="s">
        <v>34</v>
      </c>
      <c r="L94" s="18">
        <v>8</v>
      </c>
      <c r="M94" s="18" t="s">
        <v>1094</v>
      </c>
      <c r="N94" s="18" t="s">
        <v>762</v>
      </c>
      <c r="O94" s="18" t="s">
        <v>763</v>
      </c>
      <c r="P94" s="18" t="s">
        <v>764</v>
      </c>
      <c r="Q94" s="18"/>
      <c r="R94" s="18" t="s">
        <v>765</v>
      </c>
      <c r="S94" s="18" t="s">
        <v>766</v>
      </c>
      <c r="T94" s="18" t="s">
        <v>1095</v>
      </c>
      <c r="U94" s="21" t="s">
        <v>1096</v>
      </c>
      <c r="V94" s="18"/>
      <c r="W94" s="18"/>
      <c r="X94" s="18"/>
      <c r="Y94" s="18"/>
      <c r="Z94" s="202" t="s">
        <v>1097</v>
      </c>
      <c r="AA94" s="186"/>
      <c r="AB94" s="186"/>
      <c r="AC94" s="186"/>
      <c r="AD94" s="186"/>
      <c r="AE94" s="188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</row>
    <row r="95" spans="1:54" ht="21" customHeight="1" x14ac:dyDescent="0.3">
      <c r="A95" s="1">
        <v>91</v>
      </c>
      <c r="B95" s="204"/>
      <c r="C95" s="204"/>
      <c r="D95" s="16"/>
      <c r="E95" s="17" t="s">
        <v>1098</v>
      </c>
      <c r="F95" s="18" t="s">
        <v>1099</v>
      </c>
      <c r="G95" s="18" t="s">
        <v>1100</v>
      </c>
      <c r="H95" s="18" t="s">
        <v>1101</v>
      </c>
      <c r="I95" s="19" t="s">
        <v>642</v>
      </c>
      <c r="J95" s="20" t="s">
        <v>1102</v>
      </c>
      <c r="K95" s="18" t="s">
        <v>51</v>
      </c>
      <c r="L95" s="18">
        <v>8</v>
      </c>
      <c r="M95" s="18" t="s">
        <v>1103</v>
      </c>
      <c r="N95" s="18" t="s">
        <v>1104</v>
      </c>
      <c r="O95" s="18" t="s">
        <v>1105</v>
      </c>
      <c r="P95" s="18" t="s">
        <v>1106</v>
      </c>
      <c r="Q95" s="18"/>
      <c r="R95" s="18" t="s">
        <v>1107</v>
      </c>
      <c r="S95" s="18" t="s">
        <v>1108</v>
      </c>
      <c r="T95" s="18" t="s">
        <v>1109</v>
      </c>
      <c r="U95" s="21" t="s">
        <v>1110</v>
      </c>
      <c r="V95" s="18"/>
      <c r="W95" s="18"/>
      <c r="X95" s="18"/>
      <c r="Y95" s="18"/>
      <c r="Z95" s="202" t="s">
        <v>1111</v>
      </c>
      <c r="AA95" s="186"/>
      <c r="AB95" s="186"/>
      <c r="AC95" s="186"/>
      <c r="AD95" s="186"/>
      <c r="AE95" s="188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</row>
    <row r="96" spans="1:54" ht="21" customHeight="1" x14ac:dyDescent="0.3">
      <c r="A96" s="1">
        <v>92</v>
      </c>
      <c r="B96" s="204"/>
      <c r="C96" s="204"/>
      <c r="D96" s="16"/>
      <c r="E96" s="17" t="s">
        <v>1112</v>
      </c>
      <c r="F96" s="18" t="s">
        <v>1113</v>
      </c>
      <c r="G96" s="18" t="s">
        <v>1114</v>
      </c>
      <c r="H96" s="18" t="s">
        <v>1115</v>
      </c>
      <c r="I96" s="19" t="s">
        <v>233</v>
      </c>
      <c r="J96" s="20" t="s">
        <v>234</v>
      </c>
      <c r="K96" s="18" t="s">
        <v>51</v>
      </c>
      <c r="L96" s="18">
        <v>8</v>
      </c>
      <c r="M96" s="18" t="s">
        <v>1116</v>
      </c>
      <c r="N96" s="18" t="s">
        <v>236</v>
      </c>
      <c r="O96" s="18" t="s">
        <v>237</v>
      </c>
      <c r="P96" s="18" t="s">
        <v>238</v>
      </c>
      <c r="Q96" s="18"/>
      <c r="R96" s="18" t="s">
        <v>239</v>
      </c>
      <c r="S96" s="18" t="s">
        <v>240</v>
      </c>
      <c r="T96" s="18" t="s">
        <v>1117</v>
      </c>
      <c r="U96" s="21" t="s">
        <v>241</v>
      </c>
      <c r="V96" s="18"/>
      <c r="W96" s="18"/>
      <c r="X96" s="18"/>
      <c r="Y96" s="18"/>
      <c r="Z96" s="202" t="s">
        <v>242</v>
      </c>
      <c r="AA96" s="186"/>
      <c r="AB96" s="186"/>
      <c r="AC96" s="186"/>
      <c r="AD96" s="186"/>
      <c r="AE96" s="188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</row>
    <row r="97" spans="1:54" ht="21" customHeight="1" x14ac:dyDescent="0.3">
      <c r="A97" s="1">
        <v>94</v>
      </c>
      <c r="B97" s="204"/>
      <c r="C97" s="204"/>
      <c r="D97" s="16"/>
      <c r="E97" s="24" t="s">
        <v>1118</v>
      </c>
      <c r="F97" s="18" t="s">
        <v>1119</v>
      </c>
      <c r="G97" s="18" t="s">
        <v>1120</v>
      </c>
      <c r="H97" s="18" t="s">
        <v>1121</v>
      </c>
      <c r="I97" s="19" t="s">
        <v>1122</v>
      </c>
      <c r="J97" s="20" t="s">
        <v>1123</v>
      </c>
      <c r="K97" s="18" t="s">
        <v>51</v>
      </c>
      <c r="L97" s="18">
        <v>8</v>
      </c>
      <c r="M97" s="18" t="s">
        <v>1124</v>
      </c>
      <c r="N97" s="18" t="s">
        <v>1125</v>
      </c>
      <c r="O97" s="18" t="s">
        <v>1126</v>
      </c>
      <c r="P97" s="18" t="s">
        <v>1127</v>
      </c>
      <c r="Q97" s="18"/>
      <c r="R97" s="18" t="s">
        <v>1128</v>
      </c>
      <c r="S97" s="18" t="s">
        <v>1129</v>
      </c>
      <c r="T97" s="18" t="s">
        <v>1130</v>
      </c>
      <c r="U97" s="21" t="s">
        <v>359</v>
      </c>
      <c r="V97" s="18"/>
      <c r="W97" s="18"/>
      <c r="X97" s="18"/>
      <c r="Y97" s="18"/>
      <c r="Z97" s="202" t="s">
        <v>1131</v>
      </c>
      <c r="AA97" s="186"/>
      <c r="AB97" s="186"/>
      <c r="AC97" s="186"/>
      <c r="AD97" s="186"/>
      <c r="AE97" s="188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</row>
    <row r="98" spans="1:54" ht="21" customHeight="1" x14ac:dyDescent="0.3">
      <c r="A98" s="1">
        <v>95</v>
      </c>
      <c r="B98" s="204"/>
      <c r="C98" s="204"/>
      <c r="D98" s="16"/>
      <c r="E98" s="24" t="s">
        <v>1132</v>
      </c>
      <c r="F98" s="18" t="s">
        <v>1133</v>
      </c>
      <c r="G98" s="18" t="s">
        <v>1134</v>
      </c>
      <c r="H98" s="18" t="s">
        <v>1135</v>
      </c>
      <c r="I98" s="19" t="s">
        <v>49</v>
      </c>
      <c r="J98" s="20" t="s">
        <v>1136</v>
      </c>
      <c r="K98" s="18" t="s">
        <v>51</v>
      </c>
      <c r="L98" s="18">
        <v>8</v>
      </c>
      <c r="M98" s="18" t="s">
        <v>1137</v>
      </c>
      <c r="N98" s="18" t="s">
        <v>1138</v>
      </c>
      <c r="O98" s="18" t="s">
        <v>1139</v>
      </c>
      <c r="P98" s="18" t="s">
        <v>1140</v>
      </c>
      <c r="Q98" s="18"/>
      <c r="R98" s="18" t="s">
        <v>1141</v>
      </c>
      <c r="S98" s="18" t="s">
        <v>1142</v>
      </c>
      <c r="T98" s="18" t="s">
        <v>1143</v>
      </c>
      <c r="U98" s="21" t="s">
        <v>359</v>
      </c>
      <c r="V98" s="18"/>
      <c r="W98" s="18"/>
      <c r="X98" s="18"/>
      <c r="Y98" s="18"/>
      <c r="Z98" s="202" t="s">
        <v>1144</v>
      </c>
      <c r="AA98" s="186"/>
      <c r="AB98" s="186"/>
      <c r="AC98" s="186"/>
      <c r="AD98" s="186"/>
      <c r="AE98" s="188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</row>
    <row r="99" spans="1:54" ht="21" customHeight="1" x14ac:dyDescent="0.3">
      <c r="A99" s="1">
        <v>96</v>
      </c>
      <c r="B99" s="204"/>
      <c r="C99" s="204"/>
      <c r="D99" s="16"/>
      <c r="E99" s="24" t="s">
        <v>1145</v>
      </c>
      <c r="F99" s="18" t="s">
        <v>1146</v>
      </c>
      <c r="G99" s="18" t="s">
        <v>1147</v>
      </c>
      <c r="H99" s="18" t="s">
        <v>1148</v>
      </c>
      <c r="I99" s="19" t="s">
        <v>1149</v>
      </c>
      <c r="J99" s="20" t="s">
        <v>1150</v>
      </c>
      <c r="K99" s="18" t="s">
        <v>51</v>
      </c>
      <c r="L99" s="18">
        <v>8</v>
      </c>
      <c r="M99" s="18" t="s">
        <v>1151</v>
      </c>
      <c r="N99" s="18" t="s">
        <v>1152</v>
      </c>
      <c r="O99" s="18" t="s">
        <v>1153</v>
      </c>
      <c r="P99" s="18" t="s">
        <v>1154</v>
      </c>
      <c r="Q99" s="18"/>
      <c r="R99" s="18" t="s">
        <v>1155</v>
      </c>
      <c r="S99" s="18" t="s">
        <v>1156</v>
      </c>
      <c r="T99" s="18" t="s">
        <v>1157</v>
      </c>
      <c r="U99" s="21" t="s">
        <v>43</v>
      </c>
      <c r="V99" s="18"/>
      <c r="W99" s="18"/>
      <c r="X99" s="18"/>
      <c r="Y99" s="18"/>
      <c r="Z99" s="202" t="s">
        <v>1158</v>
      </c>
      <c r="AA99" s="186"/>
      <c r="AB99" s="186"/>
      <c r="AC99" s="186"/>
      <c r="AD99" s="186"/>
      <c r="AE99" s="188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</row>
    <row r="100" spans="1:54" ht="21" customHeight="1" x14ac:dyDescent="0.3">
      <c r="A100" s="1">
        <v>97</v>
      </c>
      <c r="B100" s="204"/>
      <c r="C100" s="204"/>
      <c r="D100" s="16"/>
      <c r="E100" s="17" t="s">
        <v>1159</v>
      </c>
      <c r="F100" s="18" t="s">
        <v>1160</v>
      </c>
      <c r="G100" s="18" t="s">
        <v>1161</v>
      </c>
      <c r="H100" s="18" t="s">
        <v>1162</v>
      </c>
      <c r="I100" s="19" t="s">
        <v>1163</v>
      </c>
      <c r="J100" s="20" t="s">
        <v>1164</v>
      </c>
      <c r="K100" s="18" t="s">
        <v>51</v>
      </c>
      <c r="L100" s="18">
        <v>8</v>
      </c>
      <c r="M100" s="18" t="s">
        <v>1165</v>
      </c>
      <c r="N100" s="18" t="s">
        <v>1166</v>
      </c>
      <c r="O100" s="18" t="s">
        <v>1167</v>
      </c>
      <c r="P100" s="18" t="s">
        <v>1168</v>
      </c>
      <c r="Q100" s="18"/>
      <c r="R100" s="18" t="s">
        <v>1169</v>
      </c>
      <c r="S100" s="18" t="s">
        <v>1170</v>
      </c>
      <c r="T100" s="18" t="s">
        <v>1171</v>
      </c>
      <c r="U100" s="21" t="s">
        <v>58</v>
      </c>
      <c r="V100" s="18"/>
      <c r="W100" s="18"/>
      <c r="X100" s="18"/>
      <c r="Y100" s="18"/>
      <c r="Z100" s="202" t="s">
        <v>1172</v>
      </c>
      <c r="AA100" s="186"/>
      <c r="AB100" s="186"/>
      <c r="AC100" s="186"/>
      <c r="AD100" s="186"/>
      <c r="AE100" s="188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</row>
    <row r="101" spans="1:54" ht="21" customHeight="1" x14ac:dyDescent="0.3">
      <c r="A101" s="1">
        <v>98</v>
      </c>
      <c r="B101" s="204"/>
      <c r="C101" s="204"/>
      <c r="D101" s="16"/>
      <c r="E101" s="17" t="s">
        <v>1173</v>
      </c>
      <c r="F101" s="18" t="s">
        <v>1174</v>
      </c>
      <c r="G101" s="18" t="s">
        <v>1175</v>
      </c>
      <c r="H101" s="18" t="s">
        <v>1176</v>
      </c>
      <c r="I101" s="19" t="s">
        <v>1177</v>
      </c>
      <c r="J101" s="20" t="s">
        <v>1178</v>
      </c>
      <c r="K101" s="18" t="s">
        <v>34</v>
      </c>
      <c r="L101" s="18">
        <v>8</v>
      </c>
      <c r="M101" s="18" t="s">
        <v>1179</v>
      </c>
      <c r="N101" s="18" t="s">
        <v>1180</v>
      </c>
      <c r="O101" s="18" t="s">
        <v>1181</v>
      </c>
      <c r="P101" s="18" t="s">
        <v>1182</v>
      </c>
      <c r="Q101" s="18"/>
      <c r="R101" s="18" t="s">
        <v>1183</v>
      </c>
      <c r="S101" s="18" t="s">
        <v>1184</v>
      </c>
      <c r="T101" s="18" t="s">
        <v>1185</v>
      </c>
      <c r="U101" s="21" t="s">
        <v>58</v>
      </c>
      <c r="V101" s="18"/>
      <c r="W101" s="18"/>
      <c r="X101" s="18"/>
      <c r="Y101" s="18"/>
      <c r="Z101" s="202" t="s">
        <v>1186</v>
      </c>
      <c r="AA101" s="186"/>
      <c r="AB101" s="186"/>
      <c r="AC101" s="186"/>
      <c r="AD101" s="186"/>
      <c r="AE101" s="188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</row>
    <row r="102" spans="1:54" ht="21" customHeight="1" x14ac:dyDescent="0.3">
      <c r="A102" s="1">
        <v>99</v>
      </c>
      <c r="B102" s="204"/>
      <c r="C102" s="204"/>
      <c r="D102" s="25" t="s">
        <v>97</v>
      </c>
      <c r="E102" s="24" t="s">
        <v>1187</v>
      </c>
      <c r="F102" s="17" t="s">
        <v>1188</v>
      </c>
      <c r="G102" s="17" t="s">
        <v>373</v>
      </c>
      <c r="H102" s="17" t="s">
        <v>1189</v>
      </c>
      <c r="I102" s="26" t="s">
        <v>1190</v>
      </c>
      <c r="J102" s="17" t="s">
        <v>1191</v>
      </c>
      <c r="K102" s="17" t="s">
        <v>34</v>
      </c>
      <c r="L102" s="17">
        <v>8</v>
      </c>
      <c r="M102" s="17" t="s">
        <v>1192</v>
      </c>
      <c r="N102" s="17" t="s">
        <v>1193</v>
      </c>
      <c r="O102" s="17" t="s">
        <v>1194</v>
      </c>
      <c r="P102" s="17" t="s">
        <v>1195</v>
      </c>
      <c r="Q102" s="34"/>
      <c r="R102" s="17" t="s">
        <v>1196</v>
      </c>
      <c r="S102" s="17" t="s">
        <v>1197</v>
      </c>
      <c r="T102" s="17" t="s">
        <v>1198</v>
      </c>
      <c r="U102" s="30" t="s">
        <v>110</v>
      </c>
      <c r="V102" s="34"/>
      <c r="W102" s="34"/>
      <c r="X102" s="34"/>
      <c r="Y102" s="34"/>
      <c r="Z102" s="195" t="s">
        <v>993</v>
      </c>
      <c r="AA102" s="186"/>
      <c r="AB102" s="186"/>
      <c r="AC102" s="186"/>
      <c r="AD102" s="186"/>
      <c r="AE102" s="188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</row>
    <row r="103" spans="1:54" ht="21" customHeight="1" x14ac:dyDescent="0.3">
      <c r="A103" s="1">
        <v>100</v>
      </c>
      <c r="B103" s="204"/>
      <c r="C103" s="204"/>
      <c r="D103" s="33" t="s">
        <v>97</v>
      </c>
      <c r="E103" s="17" t="s">
        <v>1199</v>
      </c>
      <c r="F103" s="17" t="s">
        <v>1200</v>
      </c>
      <c r="G103" s="17" t="s">
        <v>1201</v>
      </c>
      <c r="H103" s="17" t="s">
        <v>1202</v>
      </c>
      <c r="I103" s="26" t="s">
        <v>1203</v>
      </c>
      <c r="J103" s="17" t="s">
        <v>1204</v>
      </c>
      <c r="K103" s="17" t="s">
        <v>51</v>
      </c>
      <c r="L103" s="17">
        <v>8</v>
      </c>
      <c r="M103" s="17" t="s">
        <v>1205</v>
      </c>
      <c r="N103" s="17" t="s">
        <v>1206</v>
      </c>
      <c r="O103" s="17" t="s">
        <v>1207</v>
      </c>
      <c r="P103" s="17" t="s">
        <v>1208</v>
      </c>
      <c r="Q103" s="17"/>
      <c r="R103" s="17" t="s">
        <v>1209</v>
      </c>
      <c r="S103" s="17" t="s">
        <v>1210</v>
      </c>
      <c r="T103" s="17" t="s">
        <v>1211</v>
      </c>
      <c r="U103" s="30" t="s">
        <v>1212</v>
      </c>
      <c r="V103" s="17"/>
      <c r="W103" s="17"/>
      <c r="X103" s="17"/>
      <c r="Y103" s="17"/>
      <c r="Z103" s="195" t="s">
        <v>1213</v>
      </c>
      <c r="AA103" s="186"/>
      <c r="AB103" s="186"/>
      <c r="AC103" s="186"/>
      <c r="AD103" s="186"/>
      <c r="AE103" s="188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</row>
    <row r="104" spans="1:54" ht="21" customHeight="1" x14ac:dyDescent="0.3">
      <c r="A104" s="1">
        <v>101</v>
      </c>
      <c r="B104" s="205"/>
      <c r="C104" s="205"/>
      <c r="D104" s="16"/>
      <c r="E104" s="17" t="s">
        <v>1214</v>
      </c>
      <c r="F104" s="18" t="s">
        <v>1215</v>
      </c>
      <c r="G104" s="18" t="s">
        <v>854</v>
      </c>
      <c r="H104" s="18" t="s">
        <v>1216</v>
      </c>
      <c r="I104" s="19" t="s">
        <v>1217</v>
      </c>
      <c r="J104" s="20" t="s">
        <v>1218</v>
      </c>
      <c r="K104" s="18" t="s">
        <v>51</v>
      </c>
      <c r="L104" s="18">
        <v>8</v>
      </c>
      <c r="M104" s="18" t="s">
        <v>1219</v>
      </c>
      <c r="N104" s="18" t="s">
        <v>1220</v>
      </c>
      <c r="O104" s="18" t="s">
        <v>1221</v>
      </c>
      <c r="P104" s="18" t="s">
        <v>1222</v>
      </c>
      <c r="Q104" s="18"/>
      <c r="R104" s="18" t="s">
        <v>1223</v>
      </c>
      <c r="S104" s="18" t="s">
        <v>1224</v>
      </c>
      <c r="T104" s="18" t="s">
        <v>1225</v>
      </c>
      <c r="U104" s="21" t="s">
        <v>58</v>
      </c>
      <c r="V104" s="18"/>
      <c r="W104" s="18"/>
      <c r="X104" s="18"/>
      <c r="Y104" s="18"/>
      <c r="Z104" s="202" t="s">
        <v>1226</v>
      </c>
      <c r="AA104" s="186"/>
      <c r="AB104" s="186"/>
      <c r="AC104" s="186"/>
      <c r="AD104" s="186"/>
      <c r="AE104" s="188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</row>
    <row r="105" spans="1:54" ht="21" customHeight="1" x14ac:dyDescent="0.3">
      <c r="A105" s="1">
        <v>102</v>
      </c>
      <c r="B105" s="211" t="str">
        <f>"H9 
 ("&amp;COUNTA(E105:E123)&amp;")"</f>
        <v>H9 
 (19)</v>
      </c>
      <c r="C105" s="209" t="s">
        <v>1227</v>
      </c>
      <c r="D105" s="16"/>
      <c r="E105" s="39" t="s">
        <v>1228</v>
      </c>
      <c r="F105" s="18" t="s">
        <v>1229</v>
      </c>
      <c r="G105" s="18" t="s">
        <v>1230</v>
      </c>
      <c r="H105" s="18" t="s">
        <v>1231</v>
      </c>
      <c r="I105" s="19" t="s">
        <v>1232</v>
      </c>
      <c r="J105" s="20" t="s">
        <v>1233</v>
      </c>
      <c r="K105" s="18" t="s">
        <v>34</v>
      </c>
      <c r="L105" s="18">
        <v>9</v>
      </c>
      <c r="M105" s="18" t="s">
        <v>1234</v>
      </c>
      <c r="N105" s="18" t="s">
        <v>1235</v>
      </c>
      <c r="O105" s="18" t="s">
        <v>1236</v>
      </c>
      <c r="P105" s="18" t="s">
        <v>1237</v>
      </c>
      <c r="Q105" s="18"/>
      <c r="R105" s="18" t="s">
        <v>1238</v>
      </c>
      <c r="S105" s="18" t="s">
        <v>1239</v>
      </c>
      <c r="T105" s="18" t="s">
        <v>1240</v>
      </c>
      <c r="U105" s="21" t="s">
        <v>1241</v>
      </c>
      <c r="V105" s="18"/>
      <c r="W105" s="18"/>
      <c r="X105" s="18"/>
      <c r="Y105" s="18"/>
      <c r="Z105" s="202"/>
      <c r="AA105" s="186"/>
      <c r="AB105" s="186"/>
      <c r="AC105" s="186"/>
      <c r="AD105" s="186"/>
      <c r="AE105" s="188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</row>
    <row r="106" spans="1:54" ht="21" customHeight="1" x14ac:dyDescent="0.3">
      <c r="A106" s="1">
        <v>103</v>
      </c>
      <c r="B106" s="204"/>
      <c r="C106" s="204"/>
      <c r="D106" s="16"/>
      <c r="E106" s="40" t="s">
        <v>1242</v>
      </c>
      <c r="F106" s="18" t="s">
        <v>1243</v>
      </c>
      <c r="G106" s="18" t="s">
        <v>1244</v>
      </c>
      <c r="H106" s="18" t="s">
        <v>1245</v>
      </c>
      <c r="I106" s="19" t="s">
        <v>49</v>
      </c>
      <c r="J106" s="20" t="s">
        <v>1246</v>
      </c>
      <c r="K106" s="18" t="s">
        <v>34</v>
      </c>
      <c r="L106" s="18">
        <v>9</v>
      </c>
      <c r="M106" s="18" t="s">
        <v>1124</v>
      </c>
      <c r="N106" s="18" t="s">
        <v>1247</v>
      </c>
      <c r="O106" s="18" t="s">
        <v>1248</v>
      </c>
      <c r="P106" s="18" t="s">
        <v>1249</v>
      </c>
      <c r="Q106" s="18"/>
      <c r="R106" s="18" t="s">
        <v>1250</v>
      </c>
      <c r="S106" s="18" t="s">
        <v>1251</v>
      </c>
      <c r="T106" s="18" t="s">
        <v>1252</v>
      </c>
      <c r="U106" s="21" t="s">
        <v>416</v>
      </c>
      <c r="V106" s="18"/>
      <c r="W106" s="18"/>
      <c r="X106" s="18"/>
      <c r="Y106" s="18"/>
      <c r="Z106" s="202" t="s">
        <v>1253</v>
      </c>
      <c r="AA106" s="186"/>
      <c r="AB106" s="186"/>
      <c r="AC106" s="186"/>
      <c r="AD106" s="186"/>
      <c r="AE106" s="188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</row>
    <row r="107" spans="1:54" ht="21" customHeight="1" x14ac:dyDescent="0.3">
      <c r="A107" s="1">
        <v>104</v>
      </c>
      <c r="B107" s="204"/>
      <c r="C107" s="204"/>
      <c r="D107" s="16"/>
      <c r="E107" s="18" t="s">
        <v>1254</v>
      </c>
      <c r="F107" s="18" t="s">
        <v>1255</v>
      </c>
      <c r="G107" s="18" t="s">
        <v>1256</v>
      </c>
      <c r="H107" s="18" t="s">
        <v>1257</v>
      </c>
      <c r="I107" s="19" t="s">
        <v>247</v>
      </c>
      <c r="J107" s="20" t="s">
        <v>1258</v>
      </c>
      <c r="K107" s="18" t="s">
        <v>34</v>
      </c>
      <c r="L107" s="18">
        <v>9</v>
      </c>
      <c r="M107" s="18" t="s">
        <v>1259</v>
      </c>
      <c r="N107" s="18" t="s">
        <v>1260</v>
      </c>
      <c r="O107" s="18" t="s">
        <v>1261</v>
      </c>
      <c r="P107" s="18" t="s">
        <v>1262</v>
      </c>
      <c r="Q107" s="18"/>
      <c r="R107" s="18" t="s">
        <v>1263</v>
      </c>
      <c r="S107" s="18" t="s">
        <v>1264</v>
      </c>
      <c r="T107" s="18" t="s">
        <v>1265</v>
      </c>
      <c r="U107" s="21" t="s">
        <v>1266</v>
      </c>
      <c r="V107" s="18"/>
      <c r="W107" s="18"/>
      <c r="X107" s="18"/>
      <c r="Y107" s="18"/>
      <c r="Z107" s="202" t="s">
        <v>1267</v>
      </c>
      <c r="AA107" s="186"/>
      <c r="AB107" s="186"/>
      <c r="AC107" s="186"/>
      <c r="AD107" s="186"/>
      <c r="AE107" s="188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</row>
    <row r="108" spans="1:54" ht="21" customHeight="1" x14ac:dyDescent="0.3">
      <c r="A108" s="1">
        <v>105</v>
      </c>
      <c r="B108" s="204"/>
      <c r="C108" s="204"/>
      <c r="D108" s="16"/>
      <c r="E108" s="17" t="s">
        <v>1268</v>
      </c>
      <c r="F108" s="18" t="s">
        <v>1269</v>
      </c>
      <c r="G108" s="18" t="s">
        <v>1270</v>
      </c>
      <c r="H108" s="18" t="s">
        <v>1271</v>
      </c>
      <c r="I108" s="19" t="s">
        <v>1272</v>
      </c>
      <c r="J108" s="20" t="s">
        <v>1273</v>
      </c>
      <c r="K108" s="18" t="s">
        <v>51</v>
      </c>
      <c r="L108" s="18">
        <v>9</v>
      </c>
      <c r="M108" s="18" t="s">
        <v>1274</v>
      </c>
      <c r="N108" s="18" t="s">
        <v>1275</v>
      </c>
      <c r="O108" s="18" t="s">
        <v>1276</v>
      </c>
      <c r="P108" s="18" t="s">
        <v>1277</v>
      </c>
      <c r="Q108" s="18"/>
      <c r="R108" s="18" t="s">
        <v>1278</v>
      </c>
      <c r="S108" s="18" t="s">
        <v>1279</v>
      </c>
      <c r="T108" s="18" t="s">
        <v>1280</v>
      </c>
      <c r="U108" s="21" t="s">
        <v>369</v>
      </c>
      <c r="V108" s="18"/>
      <c r="W108" s="18"/>
      <c r="X108" s="18"/>
      <c r="Y108" s="18"/>
      <c r="Z108" s="202" t="s">
        <v>1281</v>
      </c>
      <c r="AA108" s="186"/>
      <c r="AB108" s="186"/>
      <c r="AC108" s="186"/>
      <c r="AD108" s="186"/>
      <c r="AE108" s="188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</row>
    <row r="109" spans="1:54" ht="21" customHeight="1" x14ac:dyDescent="0.3">
      <c r="A109" s="1">
        <v>106</v>
      </c>
      <c r="B109" s="204"/>
      <c r="C109" s="204"/>
      <c r="D109" s="16"/>
      <c r="E109" s="20" t="s">
        <v>1282</v>
      </c>
      <c r="F109" s="18" t="s">
        <v>1283</v>
      </c>
      <c r="G109" s="18" t="s">
        <v>1284</v>
      </c>
      <c r="H109" s="18" t="s">
        <v>1285</v>
      </c>
      <c r="I109" s="19" t="s">
        <v>1286</v>
      </c>
      <c r="J109" s="20" t="s">
        <v>1287</v>
      </c>
      <c r="K109" s="18" t="s">
        <v>34</v>
      </c>
      <c r="L109" s="18">
        <v>9</v>
      </c>
      <c r="M109" s="18" t="s">
        <v>1288</v>
      </c>
      <c r="N109" s="18" t="s">
        <v>1289</v>
      </c>
      <c r="O109" s="18" t="s">
        <v>1290</v>
      </c>
      <c r="P109" s="18" t="s">
        <v>1291</v>
      </c>
      <c r="Q109" s="18"/>
      <c r="R109" s="18" t="s">
        <v>1292</v>
      </c>
      <c r="S109" s="18" t="s">
        <v>1293</v>
      </c>
      <c r="T109" s="41" t="s">
        <v>1294</v>
      </c>
      <c r="U109" s="21" t="s">
        <v>1295</v>
      </c>
      <c r="V109" s="18"/>
      <c r="W109" s="18"/>
      <c r="X109" s="18"/>
      <c r="Y109" s="18"/>
      <c r="Z109" s="202" t="s">
        <v>1296</v>
      </c>
      <c r="AA109" s="186"/>
      <c r="AB109" s="186"/>
      <c r="AC109" s="186"/>
      <c r="AD109" s="186"/>
      <c r="AE109" s="188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</row>
    <row r="110" spans="1:54" ht="21" customHeight="1" x14ac:dyDescent="0.3">
      <c r="A110" s="1">
        <v>107</v>
      </c>
      <c r="B110" s="204"/>
      <c r="C110" s="204"/>
      <c r="D110" s="16"/>
      <c r="E110" s="24" t="s">
        <v>1297</v>
      </c>
      <c r="F110" s="18" t="s">
        <v>1298</v>
      </c>
      <c r="G110" s="18" t="s">
        <v>1299</v>
      </c>
      <c r="H110" s="18" t="s">
        <v>1300</v>
      </c>
      <c r="I110" s="19" t="s">
        <v>351</v>
      </c>
      <c r="J110" s="20" t="s">
        <v>352</v>
      </c>
      <c r="K110" s="18" t="s">
        <v>34</v>
      </c>
      <c r="L110" s="18">
        <v>9</v>
      </c>
      <c r="M110" s="18" t="s">
        <v>1301</v>
      </c>
      <c r="N110" s="18" t="s">
        <v>354</v>
      </c>
      <c r="O110" s="18" t="s">
        <v>355</v>
      </c>
      <c r="P110" s="18" t="s">
        <v>356</v>
      </c>
      <c r="Q110" s="18"/>
      <c r="R110" s="18" t="s">
        <v>357</v>
      </c>
      <c r="S110" s="18" t="s">
        <v>358</v>
      </c>
      <c r="T110" s="18"/>
      <c r="U110" s="21" t="s">
        <v>359</v>
      </c>
      <c r="V110" s="18"/>
      <c r="W110" s="18"/>
      <c r="X110" s="18"/>
      <c r="Y110" s="18"/>
      <c r="Z110" s="202" t="s">
        <v>360</v>
      </c>
      <c r="AA110" s="186"/>
      <c r="AB110" s="186"/>
      <c r="AC110" s="186"/>
      <c r="AD110" s="186"/>
      <c r="AE110" s="188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spans="1:54" ht="21" customHeight="1" x14ac:dyDescent="0.3">
      <c r="A111" s="1">
        <v>108</v>
      </c>
      <c r="B111" s="204"/>
      <c r="C111" s="204"/>
      <c r="D111" s="16"/>
      <c r="E111" s="18" t="s">
        <v>1302</v>
      </c>
      <c r="F111" s="18" t="s">
        <v>1303</v>
      </c>
      <c r="G111" s="18" t="s">
        <v>1299</v>
      </c>
      <c r="H111" s="18" t="s">
        <v>1304</v>
      </c>
      <c r="I111" s="19" t="s">
        <v>1190</v>
      </c>
      <c r="J111" s="20" t="s">
        <v>1305</v>
      </c>
      <c r="K111" s="18" t="s">
        <v>34</v>
      </c>
      <c r="L111" s="18">
        <v>9</v>
      </c>
      <c r="M111" s="18" t="s">
        <v>1306</v>
      </c>
      <c r="N111" s="18" t="s">
        <v>1307</v>
      </c>
      <c r="O111" s="18" t="s">
        <v>1308</v>
      </c>
      <c r="P111" s="18" t="s">
        <v>1309</v>
      </c>
      <c r="Q111" s="18" t="s">
        <v>1310</v>
      </c>
      <c r="R111" s="18" t="s">
        <v>1311</v>
      </c>
      <c r="S111" s="18" t="s">
        <v>1312</v>
      </c>
      <c r="T111" s="18" t="s">
        <v>1313</v>
      </c>
      <c r="U111" s="21" t="s">
        <v>631</v>
      </c>
      <c r="V111" s="18"/>
      <c r="W111" s="18"/>
      <c r="X111" s="18"/>
      <c r="Y111" s="18"/>
      <c r="Z111" s="202" t="s">
        <v>1314</v>
      </c>
      <c r="AA111" s="186"/>
      <c r="AB111" s="186"/>
      <c r="AC111" s="186"/>
      <c r="AD111" s="186"/>
      <c r="AE111" s="188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spans="1:54" ht="21" customHeight="1" x14ac:dyDescent="0.3">
      <c r="A112" s="1">
        <v>109</v>
      </c>
      <c r="B112" s="204"/>
      <c r="C112" s="204"/>
      <c r="D112" s="16"/>
      <c r="E112" s="18" t="s">
        <v>1315</v>
      </c>
      <c r="F112" s="18" t="s">
        <v>1316</v>
      </c>
      <c r="G112" s="18" t="s">
        <v>947</v>
      </c>
      <c r="H112" s="18" t="s">
        <v>1317</v>
      </c>
      <c r="I112" s="19" t="s">
        <v>130</v>
      </c>
      <c r="J112" s="20" t="s">
        <v>1318</v>
      </c>
      <c r="K112" s="18" t="s">
        <v>51</v>
      </c>
      <c r="L112" s="18">
        <v>9</v>
      </c>
      <c r="M112" s="18" t="s">
        <v>1319</v>
      </c>
      <c r="N112" s="18" t="s">
        <v>1320</v>
      </c>
      <c r="O112" s="18" t="s">
        <v>1321</v>
      </c>
      <c r="P112" s="18" t="s">
        <v>1322</v>
      </c>
      <c r="Q112" s="18"/>
      <c r="R112" s="18" t="s">
        <v>1323</v>
      </c>
      <c r="S112" s="18" t="s">
        <v>1324</v>
      </c>
      <c r="T112" s="18" t="s">
        <v>1325</v>
      </c>
      <c r="U112" s="21" t="s">
        <v>1326</v>
      </c>
      <c r="V112" s="18"/>
      <c r="W112" s="18"/>
      <c r="X112" s="18"/>
      <c r="Y112" s="18"/>
      <c r="Z112" s="202" t="s">
        <v>1327</v>
      </c>
      <c r="AA112" s="186"/>
      <c r="AB112" s="186"/>
      <c r="AC112" s="186"/>
      <c r="AD112" s="186"/>
      <c r="AE112" s="188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spans="1:54" ht="21" customHeight="1" x14ac:dyDescent="0.3">
      <c r="A113" s="1">
        <v>110</v>
      </c>
      <c r="B113" s="204"/>
      <c r="C113" s="204"/>
      <c r="D113" s="16"/>
      <c r="E113" s="17" t="s">
        <v>1328</v>
      </c>
      <c r="F113" s="18" t="s">
        <v>1329</v>
      </c>
      <c r="G113" s="18" t="s">
        <v>1330</v>
      </c>
      <c r="H113" s="18" t="s">
        <v>1331</v>
      </c>
      <c r="I113" s="19" t="s">
        <v>1332</v>
      </c>
      <c r="J113" s="20" t="s">
        <v>1333</v>
      </c>
      <c r="K113" s="18" t="s">
        <v>34</v>
      </c>
      <c r="L113" s="18">
        <v>9</v>
      </c>
      <c r="M113" s="18" t="s">
        <v>1334</v>
      </c>
      <c r="N113" s="18" t="s">
        <v>1335</v>
      </c>
      <c r="O113" s="18" t="s">
        <v>1336</v>
      </c>
      <c r="P113" s="18" t="s">
        <v>1337</v>
      </c>
      <c r="Q113" s="18"/>
      <c r="R113" s="18" t="s">
        <v>1338</v>
      </c>
      <c r="S113" s="18" t="s">
        <v>1339</v>
      </c>
      <c r="T113" s="18" t="s">
        <v>1340</v>
      </c>
      <c r="U113" s="21" t="s">
        <v>1341</v>
      </c>
      <c r="V113" s="18"/>
      <c r="W113" s="18"/>
      <c r="X113" s="18"/>
      <c r="Y113" s="18"/>
      <c r="Z113" s="202" t="s">
        <v>1342</v>
      </c>
      <c r="AA113" s="186"/>
      <c r="AB113" s="186"/>
      <c r="AC113" s="186"/>
      <c r="AD113" s="186"/>
      <c r="AE113" s="188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</row>
    <row r="114" spans="1:54" ht="21" customHeight="1" x14ac:dyDescent="0.3">
      <c r="A114" s="1">
        <v>111</v>
      </c>
      <c r="B114" s="204"/>
      <c r="C114" s="204"/>
      <c r="D114" s="16"/>
      <c r="E114" s="17" t="s">
        <v>1343</v>
      </c>
      <c r="F114" s="18" t="s">
        <v>1344</v>
      </c>
      <c r="G114" s="18" t="s">
        <v>1345</v>
      </c>
      <c r="H114" s="18" t="s">
        <v>1346</v>
      </c>
      <c r="I114" s="19" t="s">
        <v>838</v>
      </c>
      <c r="J114" s="20" t="s">
        <v>1053</v>
      </c>
      <c r="K114" s="18" t="s">
        <v>34</v>
      </c>
      <c r="L114" s="18">
        <v>9</v>
      </c>
      <c r="M114" s="18" t="s">
        <v>1347</v>
      </c>
      <c r="N114" s="18" t="s">
        <v>1055</v>
      </c>
      <c r="O114" s="18" t="s">
        <v>1056</v>
      </c>
      <c r="P114" s="37" t="s">
        <v>1057</v>
      </c>
      <c r="Q114" s="18"/>
      <c r="R114" s="18" t="s">
        <v>1058</v>
      </c>
      <c r="S114" s="18" t="s">
        <v>1059</v>
      </c>
      <c r="T114" s="18" t="s">
        <v>1348</v>
      </c>
      <c r="U114" s="21" t="s">
        <v>1349</v>
      </c>
      <c r="V114" s="18"/>
      <c r="W114" s="18"/>
      <c r="X114" s="18" t="s">
        <v>1350</v>
      </c>
      <c r="Y114" s="18" t="s">
        <v>1350</v>
      </c>
      <c r="Z114" s="202" t="s">
        <v>1349</v>
      </c>
      <c r="AA114" s="186"/>
      <c r="AB114" s="186"/>
      <c r="AC114" s="186"/>
      <c r="AD114" s="186"/>
      <c r="AE114" s="188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</row>
    <row r="115" spans="1:54" ht="21" customHeight="1" x14ac:dyDescent="0.3">
      <c r="A115" s="1">
        <v>112</v>
      </c>
      <c r="B115" s="204"/>
      <c r="C115" s="204"/>
      <c r="D115" s="16"/>
      <c r="E115" s="24" t="s">
        <v>1351</v>
      </c>
      <c r="F115" s="18" t="s">
        <v>1352</v>
      </c>
      <c r="G115" s="18" t="s">
        <v>1353</v>
      </c>
      <c r="H115" s="18" t="s">
        <v>1354</v>
      </c>
      <c r="I115" s="19" t="s">
        <v>1355</v>
      </c>
      <c r="J115" s="20" t="s">
        <v>1356</v>
      </c>
      <c r="K115" s="18" t="s">
        <v>51</v>
      </c>
      <c r="L115" s="18">
        <v>9</v>
      </c>
      <c r="M115" s="18" t="s">
        <v>1357</v>
      </c>
      <c r="N115" s="18" t="s">
        <v>1358</v>
      </c>
      <c r="O115" s="18" t="s">
        <v>1359</v>
      </c>
      <c r="P115" s="18" t="s">
        <v>1360</v>
      </c>
      <c r="Q115" s="18"/>
      <c r="R115" s="18" t="s">
        <v>1361</v>
      </c>
      <c r="S115" s="18" t="s">
        <v>1362</v>
      </c>
      <c r="T115" s="18" t="s">
        <v>1363</v>
      </c>
      <c r="U115" s="21" t="s">
        <v>241</v>
      </c>
      <c r="V115" s="18"/>
      <c r="W115" s="18"/>
      <c r="X115" s="18"/>
      <c r="Y115" s="18"/>
      <c r="Z115" s="202" t="s">
        <v>1364</v>
      </c>
      <c r="AA115" s="186"/>
      <c r="AB115" s="186"/>
      <c r="AC115" s="186"/>
      <c r="AD115" s="186"/>
      <c r="AE115" s="188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</row>
    <row r="116" spans="1:54" ht="21" customHeight="1" x14ac:dyDescent="0.3">
      <c r="A116" s="1">
        <v>113</v>
      </c>
      <c r="B116" s="204"/>
      <c r="C116" s="204"/>
      <c r="D116" s="16"/>
      <c r="E116" s="17" t="s">
        <v>1365</v>
      </c>
      <c r="F116" s="18" t="s">
        <v>1366</v>
      </c>
      <c r="G116" s="18" t="s">
        <v>1256</v>
      </c>
      <c r="H116" s="18" t="s">
        <v>1367</v>
      </c>
      <c r="I116" s="19" t="s">
        <v>1368</v>
      </c>
      <c r="J116" s="20" t="s">
        <v>1369</v>
      </c>
      <c r="K116" s="18" t="s">
        <v>34</v>
      </c>
      <c r="L116" s="18">
        <v>9</v>
      </c>
      <c r="M116" s="18" t="s">
        <v>1370</v>
      </c>
      <c r="N116" s="18"/>
      <c r="O116" s="18" t="s">
        <v>1371</v>
      </c>
      <c r="P116" s="18" t="s">
        <v>1372</v>
      </c>
      <c r="Q116" s="18"/>
      <c r="R116" s="18"/>
      <c r="S116" s="18" t="s">
        <v>1373</v>
      </c>
      <c r="T116" s="18" t="s">
        <v>1374</v>
      </c>
      <c r="U116" s="21" t="s">
        <v>1375</v>
      </c>
      <c r="V116" s="18"/>
      <c r="W116" s="18"/>
      <c r="X116" s="18"/>
      <c r="Y116" s="18"/>
      <c r="Z116" s="202" t="s">
        <v>1376</v>
      </c>
      <c r="AA116" s="186"/>
      <c r="AB116" s="186"/>
      <c r="AC116" s="186"/>
      <c r="AD116" s="186"/>
      <c r="AE116" s="188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</row>
    <row r="117" spans="1:54" ht="21" customHeight="1" x14ac:dyDescent="0.3">
      <c r="A117" s="1">
        <v>114</v>
      </c>
      <c r="B117" s="204"/>
      <c r="C117" s="204"/>
      <c r="D117" s="25" t="s">
        <v>97</v>
      </c>
      <c r="E117" s="17" t="s">
        <v>1377</v>
      </c>
      <c r="F117" s="17" t="s">
        <v>1378</v>
      </c>
      <c r="G117" s="17" t="s">
        <v>192</v>
      </c>
      <c r="H117" s="17" t="s">
        <v>1379</v>
      </c>
      <c r="I117" s="26" t="s">
        <v>956</v>
      </c>
      <c r="J117" s="17" t="s">
        <v>1380</v>
      </c>
      <c r="K117" s="17" t="s">
        <v>51</v>
      </c>
      <c r="L117" s="17">
        <v>9</v>
      </c>
      <c r="M117" s="17" t="s">
        <v>1381</v>
      </c>
      <c r="N117" s="17" t="s">
        <v>1382</v>
      </c>
      <c r="O117" s="17" t="s">
        <v>1383</v>
      </c>
      <c r="P117" s="17" t="s">
        <v>1384</v>
      </c>
      <c r="Q117" s="17"/>
      <c r="R117" s="17" t="s">
        <v>1385</v>
      </c>
      <c r="S117" s="17" t="s">
        <v>1386</v>
      </c>
      <c r="T117" s="17" t="s">
        <v>1387</v>
      </c>
      <c r="U117" s="30" t="s">
        <v>110</v>
      </c>
      <c r="V117" s="17"/>
      <c r="W117" s="17"/>
      <c r="X117" s="17"/>
      <c r="Y117" s="17"/>
      <c r="Z117" s="195" t="s">
        <v>1388</v>
      </c>
      <c r="AA117" s="186"/>
      <c r="AB117" s="186"/>
      <c r="AC117" s="186"/>
      <c r="AD117" s="186"/>
      <c r="AE117" s="188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</row>
    <row r="118" spans="1:54" ht="21" customHeight="1" x14ac:dyDescent="0.3">
      <c r="A118" s="1">
        <v>115</v>
      </c>
      <c r="B118" s="204"/>
      <c r="C118" s="204"/>
      <c r="D118" s="25" t="s">
        <v>97</v>
      </c>
      <c r="E118" s="17" t="s">
        <v>1389</v>
      </c>
      <c r="F118" s="17" t="s">
        <v>1390</v>
      </c>
      <c r="G118" s="17" t="s">
        <v>1391</v>
      </c>
      <c r="H118" s="17" t="s">
        <v>1392</v>
      </c>
      <c r="I118" s="26" t="s">
        <v>1393</v>
      </c>
      <c r="J118" s="17" t="s">
        <v>1394</v>
      </c>
      <c r="K118" s="17" t="s">
        <v>34</v>
      </c>
      <c r="L118" s="17">
        <v>9</v>
      </c>
      <c r="M118" s="17" t="s">
        <v>1395</v>
      </c>
      <c r="N118" s="17" t="s">
        <v>1396</v>
      </c>
      <c r="O118" s="17" t="s">
        <v>1397</v>
      </c>
      <c r="P118" s="17" t="s">
        <v>1398</v>
      </c>
      <c r="Q118" s="17"/>
      <c r="R118" s="17" t="s">
        <v>1399</v>
      </c>
      <c r="S118" s="17" t="s">
        <v>1400</v>
      </c>
      <c r="T118" s="17" t="s">
        <v>1401</v>
      </c>
      <c r="U118" s="30" t="s">
        <v>110</v>
      </c>
      <c r="V118" s="17"/>
      <c r="W118" s="17"/>
      <c r="X118" s="17"/>
      <c r="Y118" s="17"/>
      <c r="Z118" s="195" t="s">
        <v>201</v>
      </c>
      <c r="AA118" s="186"/>
      <c r="AB118" s="186"/>
      <c r="AC118" s="186"/>
      <c r="AD118" s="186"/>
      <c r="AE118" s="188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</row>
    <row r="119" spans="1:54" ht="21" customHeight="1" x14ac:dyDescent="0.3">
      <c r="A119" s="1"/>
      <c r="B119" s="204"/>
      <c r="C119" s="204"/>
      <c r="D119" s="25" t="s">
        <v>97</v>
      </c>
      <c r="E119" s="17" t="s">
        <v>1402</v>
      </c>
      <c r="F119" s="17"/>
      <c r="G119" s="17"/>
      <c r="H119" s="17"/>
      <c r="I119" s="2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30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</row>
    <row r="120" spans="1:54" ht="21" customHeight="1" x14ac:dyDescent="0.3">
      <c r="A120" s="1"/>
      <c r="B120" s="204"/>
      <c r="C120" s="204"/>
      <c r="D120" s="25" t="s">
        <v>97</v>
      </c>
      <c r="E120" s="17" t="s">
        <v>1403</v>
      </c>
      <c r="F120" s="17"/>
      <c r="G120" s="17"/>
      <c r="H120" s="17"/>
      <c r="I120" s="2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30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</row>
    <row r="121" spans="1:54" ht="21" customHeight="1" x14ac:dyDescent="0.3">
      <c r="A121" s="1"/>
      <c r="B121" s="204"/>
      <c r="C121" s="204"/>
      <c r="D121" s="25" t="s">
        <v>97</v>
      </c>
      <c r="E121" s="17" t="s">
        <v>1404</v>
      </c>
      <c r="F121" s="17"/>
      <c r="G121" s="17"/>
      <c r="H121" s="17"/>
      <c r="I121" s="26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30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</row>
    <row r="122" spans="1:54" ht="21" customHeight="1" x14ac:dyDescent="0.3">
      <c r="A122" s="1">
        <v>116</v>
      </c>
      <c r="B122" s="204"/>
      <c r="C122" s="204"/>
      <c r="D122" s="16"/>
      <c r="E122" s="17" t="s">
        <v>1405</v>
      </c>
      <c r="F122" s="18" t="s">
        <v>1406</v>
      </c>
      <c r="G122" s="18" t="s">
        <v>1407</v>
      </c>
      <c r="H122" s="18" t="s">
        <v>1408</v>
      </c>
      <c r="I122" s="19" t="s">
        <v>1409</v>
      </c>
      <c r="J122" s="20" t="s">
        <v>1410</v>
      </c>
      <c r="K122" s="18" t="s">
        <v>51</v>
      </c>
      <c r="L122" s="18">
        <v>9</v>
      </c>
      <c r="M122" s="18" t="s">
        <v>1411</v>
      </c>
      <c r="N122" s="18" t="s">
        <v>1412</v>
      </c>
      <c r="O122" s="18" t="s">
        <v>1413</v>
      </c>
      <c r="P122" s="18" t="s">
        <v>1414</v>
      </c>
      <c r="Q122" s="18"/>
      <c r="R122" s="18" t="s">
        <v>1415</v>
      </c>
      <c r="S122" s="18" t="s">
        <v>1416</v>
      </c>
      <c r="T122" s="18" t="s">
        <v>1417</v>
      </c>
      <c r="U122" s="21" t="s">
        <v>1418</v>
      </c>
      <c r="V122" s="18"/>
      <c r="W122" s="18"/>
      <c r="X122" s="18"/>
      <c r="Y122" s="18"/>
      <c r="Z122" s="202" t="s">
        <v>1419</v>
      </c>
      <c r="AA122" s="186"/>
      <c r="AB122" s="186"/>
      <c r="AC122" s="186"/>
      <c r="AD122" s="186"/>
      <c r="AE122" s="188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</row>
    <row r="123" spans="1:54" ht="21" customHeight="1" x14ac:dyDescent="0.3">
      <c r="A123" s="1">
        <v>117</v>
      </c>
      <c r="B123" s="205"/>
      <c r="C123" s="205"/>
      <c r="D123" s="16"/>
      <c r="E123" s="17" t="s">
        <v>1420</v>
      </c>
      <c r="F123" s="18" t="s">
        <v>1421</v>
      </c>
      <c r="G123" s="18" t="s">
        <v>1422</v>
      </c>
      <c r="H123" s="18" t="s">
        <v>1423</v>
      </c>
      <c r="I123" s="19" t="s">
        <v>810</v>
      </c>
      <c r="J123" s="20" t="s">
        <v>811</v>
      </c>
      <c r="K123" s="18" t="s">
        <v>51</v>
      </c>
      <c r="L123" s="18">
        <v>9</v>
      </c>
      <c r="M123" s="18" t="s">
        <v>1424</v>
      </c>
      <c r="N123" s="18" t="s">
        <v>813</v>
      </c>
      <c r="O123" s="18" t="s">
        <v>814</v>
      </c>
      <c r="P123" s="18" t="s">
        <v>815</v>
      </c>
      <c r="Q123" s="18"/>
      <c r="R123" s="18" t="s">
        <v>816</v>
      </c>
      <c r="S123" s="18" t="s">
        <v>817</v>
      </c>
      <c r="T123" s="18" t="s">
        <v>1425</v>
      </c>
      <c r="U123" s="21" t="s">
        <v>819</v>
      </c>
      <c r="V123" s="18"/>
      <c r="W123" s="18"/>
      <c r="X123" s="18"/>
      <c r="Y123" s="18"/>
      <c r="Z123" s="202" t="s">
        <v>820</v>
      </c>
      <c r="AA123" s="186"/>
      <c r="AB123" s="186"/>
      <c r="AC123" s="186"/>
      <c r="AD123" s="186"/>
      <c r="AE123" s="188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</row>
    <row r="124" spans="1:54" ht="21" customHeight="1" x14ac:dyDescent="0.3">
      <c r="A124" s="1">
        <v>118</v>
      </c>
      <c r="B124" s="211" t="str">
        <f>"H10
("&amp;COUNTA(E124:E134)&amp;")"</f>
        <v>H10
(11)</v>
      </c>
      <c r="C124" s="206" t="s">
        <v>1426</v>
      </c>
      <c r="D124" s="16"/>
      <c r="E124" s="39" t="s">
        <v>1427</v>
      </c>
      <c r="F124" s="18" t="s">
        <v>1428</v>
      </c>
      <c r="G124" s="18" t="s">
        <v>1429</v>
      </c>
      <c r="H124" s="18" t="s">
        <v>1430</v>
      </c>
      <c r="I124" s="19" t="s">
        <v>1431</v>
      </c>
      <c r="J124" s="20" t="s">
        <v>1432</v>
      </c>
      <c r="K124" s="18" t="s">
        <v>51</v>
      </c>
      <c r="L124" s="18">
        <v>10</v>
      </c>
      <c r="M124" s="18" t="s">
        <v>1433</v>
      </c>
      <c r="N124" s="18" t="s">
        <v>1434</v>
      </c>
      <c r="O124" s="18" t="s">
        <v>1435</v>
      </c>
      <c r="P124" s="18" t="s">
        <v>1436</v>
      </c>
      <c r="Q124" s="18"/>
      <c r="R124" s="18" t="s">
        <v>1437</v>
      </c>
      <c r="S124" s="18" t="s">
        <v>1438</v>
      </c>
      <c r="T124" s="18" t="s">
        <v>1439</v>
      </c>
      <c r="U124" s="21" t="s">
        <v>1440</v>
      </c>
      <c r="V124" s="18"/>
      <c r="W124" s="18"/>
      <c r="X124" s="18"/>
      <c r="Y124" s="18"/>
      <c r="Z124" s="202"/>
      <c r="AA124" s="186"/>
      <c r="AB124" s="186"/>
      <c r="AC124" s="186"/>
      <c r="AD124" s="186"/>
      <c r="AE124" s="188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</row>
    <row r="125" spans="1:54" ht="21" customHeight="1" x14ac:dyDescent="0.3">
      <c r="A125" s="1">
        <v>119</v>
      </c>
      <c r="B125" s="204"/>
      <c r="C125" s="204"/>
      <c r="D125" s="16"/>
      <c r="E125" s="18" t="s">
        <v>1441</v>
      </c>
      <c r="F125" s="18" t="s">
        <v>1442</v>
      </c>
      <c r="G125" s="18" t="s">
        <v>1443</v>
      </c>
      <c r="H125" s="18" t="s">
        <v>1444</v>
      </c>
      <c r="I125" s="19" t="s">
        <v>49</v>
      </c>
      <c r="J125" s="20" t="s">
        <v>1445</v>
      </c>
      <c r="K125" s="18" t="s">
        <v>51</v>
      </c>
      <c r="L125" s="18">
        <v>10</v>
      </c>
      <c r="M125" s="18" t="s">
        <v>1446</v>
      </c>
      <c r="N125" s="18" t="s">
        <v>1247</v>
      </c>
      <c r="O125" s="18" t="s">
        <v>1248</v>
      </c>
      <c r="P125" s="18" t="s">
        <v>1447</v>
      </c>
      <c r="Q125" s="18"/>
      <c r="R125" s="18" t="s">
        <v>1250</v>
      </c>
      <c r="S125" s="18" t="s">
        <v>1251</v>
      </c>
      <c r="T125" s="18" t="s">
        <v>1448</v>
      </c>
      <c r="U125" s="21" t="s">
        <v>623</v>
      </c>
      <c r="V125" s="18"/>
      <c r="W125" s="18"/>
      <c r="X125" s="18"/>
      <c r="Y125" s="18"/>
      <c r="Z125" s="202" t="s">
        <v>1449</v>
      </c>
      <c r="AA125" s="186"/>
      <c r="AB125" s="186"/>
      <c r="AC125" s="186"/>
      <c r="AD125" s="186"/>
      <c r="AE125" s="188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</row>
    <row r="126" spans="1:54" ht="21" customHeight="1" x14ac:dyDescent="0.3">
      <c r="A126" s="1">
        <v>120</v>
      </c>
      <c r="B126" s="204"/>
      <c r="C126" s="204"/>
      <c r="D126" s="16"/>
      <c r="E126" s="17" t="s">
        <v>1450</v>
      </c>
      <c r="F126" s="18" t="s">
        <v>1451</v>
      </c>
      <c r="G126" s="18" t="s">
        <v>1452</v>
      </c>
      <c r="H126" s="18" t="s">
        <v>1453</v>
      </c>
      <c r="I126" s="19" t="s">
        <v>914</v>
      </c>
      <c r="J126" s="20" t="s">
        <v>915</v>
      </c>
      <c r="K126" s="18" t="s">
        <v>51</v>
      </c>
      <c r="L126" s="18">
        <v>10</v>
      </c>
      <c r="M126" s="18" t="s">
        <v>1454</v>
      </c>
      <c r="N126" s="18" t="s">
        <v>917</v>
      </c>
      <c r="O126" s="18" t="s">
        <v>918</v>
      </c>
      <c r="P126" s="18" t="s">
        <v>919</v>
      </c>
      <c r="Q126" s="18"/>
      <c r="R126" s="18" t="s">
        <v>920</v>
      </c>
      <c r="S126" s="18" t="s">
        <v>921</v>
      </c>
      <c r="T126" s="18" t="s">
        <v>1455</v>
      </c>
      <c r="U126" s="21" t="s">
        <v>923</v>
      </c>
      <c r="V126" s="18"/>
      <c r="W126" s="18"/>
      <c r="X126" s="18"/>
      <c r="Y126" s="18"/>
      <c r="Z126" s="202" t="s">
        <v>924</v>
      </c>
      <c r="AA126" s="186"/>
      <c r="AB126" s="186"/>
      <c r="AC126" s="186"/>
      <c r="AD126" s="186"/>
      <c r="AE126" s="188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</row>
    <row r="127" spans="1:54" ht="21" customHeight="1" x14ac:dyDescent="0.3">
      <c r="A127" s="1">
        <v>121</v>
      </c>
      <c r="B127" s="204"/>
      <c r="C127" s="204"/>
      <c r="D127" s="16"/>
      <c r="E127" s="24" t="s">
        <v>1456</v>
      </c>
      <c r="F127" s="18" t="s">
        <v>1457</v>
      </c>
      <c r="G127" s="18" t="s">
        <v>1458</v>
      </c>
      <c r="H127" s="18" t="s">
        <v>1459</v>
      </c>
      <c r="I127" s="19" t="s">
        <v>32</v>
      </c>
      <c r="J127" s="20" t="s">
        <v>1079</v>
      </c>
      <c r="K127" s="18" t="s">
        <v>34</v>
      </c>
      <c r="L127" s="18">
        <v>10</v>
      </c>
      <c r="M127" s="18" t="s">
        <v>1460</v>
      </c>
      <c r="N127" s="18" t="s">
        <v>1081</v>
      </c>
      <c r="O127" s="18" t="s">
        <v>1082</v>
      </c>
      <c r="P127" s="18" t="s">
        <v>1083</v>
      </c>
      <c r="Q127" s="18"/>
      <c r="R127" s="18" t="s">
        <v>1084</v>
      </c>
      <c r="S127" s="18" t="s">
        <v>1085</v>
      </c>
      <c r="T127" s="18" t="s">
        <v>1461</v>
      </c>
      <c r="U127" s="21" t="s">
        <v>1087</v>
      </c>
      <c r="V127" s="18"/>
      <c r="W127" s="18"/>
      <c r="X127" s="18"/>
      <c r="Y127" s="18"/>
      <c r="Z127" s="202" t="s">
        <v>1088</v>
      </c>
      <c r="AA127" s="186"/>
      <c r="AB127" s="186"/>
      <c r="AC127" s="186"/>
      <c r="AD127" s="186"/>
      <c r="AE127" s="188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</row>
    <row r="128" spans="1:54" ht="21" customHeight="1" x14ac:dyDescent="0.3">
      <c r="A128" s="1">
        <v>122</v>
      </c>
      <c r="B128" s="204"/>
      <c r="C128" s="204"/>
      <c r="D128" s="16"/>
      <c r="E128" s="17" t="s">
        <v>1462</v>
      </c>
      <c r="F128" s="18" t="s">
        <v>1463</v>
      </c>
      <c r="G128" s="18" t="s">
        <v>1464</v>
      </c>
      <c r="H128" s="18" t="s">
        <v>1465</v>
      </c>
      <c r="I128" s="19" t="s">
        <v>1466</v>
      </c>
      <c r="J128" s="20" t="s">
        <v>1467</v>
      </c>
      <c r="K128" s="18" t="s">
        <v>51</v>
      </c>
      <c r="L128" s="18">
        <v>10</v>
      </c>
      <c r="M128" s="18" t="s">
        <v>1468</v>
      </c>
      <c r="N128" s="18" t="s">
        <v>1469</v>
      </c>
      <c r="O128" s="18" t="s">
        <v>1470</v>
      </c>
      <c r="P128" s="18" t="s">
        <v>1471</v>
      </c>
      <c r="Q128" s="18"/>
      <c r="R128" s="18" t="s">
        <v>1472</v>
      </c>
      <c r="S128" s="18" t="s">
        <v>1473</v>
      </c>
      <c r="T128" s="18" t="s">
        <v>1474</v>
      </c>
      <c r="U128" s="21" t="s">
        <v>241</v>
      </c>
      <c r="V128" s="18"/>
      <c r="W128" s="18"/>
      <c r="X128" s="18"/>
      <c r="Y128" s="18"/>
      <c r="Z128" s="202" t="s">
        <v>1475</v>
      </c>
      <c r="AA128" s="186"/>
      <c r="AB128" s="186"/>
      <c r="AC128" s="186"/>
      <c r="AD128" s="186"/>
      <c r="AE128" s="188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</row>
    <row r="129" spans="1:54" ht="21" customHeight="1" x14ac:dyDescent="0.3">
      <c r="A129" s="1">
        <v>123</v>
      </c>
      <c r="B129" s="204"/>
      <c r="C129" s="204"/>
      <c r="D129" s="16"/>
      <c r="E129" s="17" t="s">
        <v>1476</v>
      </c>
      <c r="F129" s="18" t="s">
        <v>1477</v>
      </c>
      <c r="G129" s="18" t="s">
        <v>854</v>
      </c>
      <c r="H129" s="18" t="s">
        <v>1478</v>
      </c>
      <c r="I129" s="19" t="s">
        <v>1479</v>
      </c>
      <c r="J129" s="20" t="s">
        <v>1480</v>
      </c>
      <c r="K129" s="18" t="s">
        <v>51</v>
      </c>
      <c r="L129" s="18">
        <v>10</v>
      </c>
      <c r="M129" s="18" t="s">
        <v>1481</v>
      </c>
      <c r="N129" s="18" t="s">
        <v>1482</v>
      </c>
      <c r="O129" s="18" t="s">
        <v>1483</v>
      </c>
      <c r="P129" s="18" t="s">
        <v>1484</v>
      </c>
      <c r="Q129" s="18"/>
      <c r="R129" s="18" t="s">
        <v>1485</v>
      </c>
      <c r="S129" s="18" t="s">
        <v>1486</v>
      </c>
      <c r="T129" s="18"/>
      <c r="U129" s="21" t="s">
        <v>359</v>
      </c>
      <c r="V129" s="18"/>
      <c r="W129" s="18"/>
      <c r="X129" s="18"/>
      <c r="Y129" s="18"/>
      <c r="Z129" s="202" t="s">
        <v>1487</v>
      </c>
      <c r="AA129" s="186"/>
      <c r="AB129" s="186"/>
      <c r="AC129" s="186"/>
      <c r="AD129" s="186"/>
      <c r="AE129" s="188"/>
      <c r="AF129" s="42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</row>
    <row r="130" spans="1:54" ht="21" customHeight="1" x14ac:dyDescent="0.3">
      <c r="A130" s="1">
        <v>124</v>
      </c>
      <c r="B130" s="204"/>
      <c r="C130" s="204"/>
      <c r="D130" s="16"/>
      <c r="E130" s="17" t="s">
        <v>1488</v>
      </c>
      <c r="F130" s="18" t="s">
        <v>1489</v>
      </c>
      <c r="G130" s="18" t="s">
        <v>1490</v>
      </c>
      <c r="H130" s="18" t="s">
        <v>1491</v>
      </c>
      <c r="I130" s="19" t="s">
        <v>1038</v>
      </c>
      <c r="J130" s="20" t="s">
        <v>1492</v>
      </c>
      <c r="K130" s="18" t="s">
        <v>51</v>
      </c>
      <c r="L130" s="18">
        <v>10</v>
      </c>
      <c r="M130" s="20" t="s">
        <v>1493</v>
      </c>
      <c r="N130" s="18" t="s">
        <v>1494</v>
      </c>
      <c r="O130" s="18" t="s">
        <v>1495</v>
      </c>
      <c r="P130" s="18" t="s">
        <v>1496</v>
      </c>
      <c r="Q130" s="18"/>
      <c r="R130" s="18" t="s">
        <v>1497</v>
      </c>
      <c r="S130" s="18" t="s">
        <v>1498</v>
      </c>
      <c r="T130" s="18"/>
      <c r="U130" s="21" t="s">
        <v>1499</v>
      </c>
      <c r="V130" s="18"/>
      <c r="W130" s="18"/>
      <c r="X130" s="18"/>
      <c r="Y130" s="18"/>
      <c r="Z130" s="202" t="s">
        <v>1500</v>
      </c>
      <c r="AA130" s="186"/>
      <c r="AB130" s="186"/>
      <c r="AC130" s="186"/>
      <c r="AD130" s="186"/>
      <c r="AE130" s="188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</row>
    <row r="131" spans="1:54" ht="21" customHeight="1" x14ac:dyDescent="0.3">
      <c r="A131" s="1">
        <v>125</v>
      </c>
      <c r="B131" s="204"/>
      <c r="C131" s="204"/>
      <c r="D131" s="16"/>
      <c r="E131" s="17" t="s">
        <v>1501</v>
      </c>
      <c r="F131" s="18" t="s">
        <v>1502</v>
      </c>
      <c r="G131" s="18" t="s">
        <v>1091</v>
      </c>
      <c r="H131" s="18" t="s">
        <v>1503</v>
      </c>
      <c r="I131" s="19" t="s">
        <v>1504</v>
      </c>
      <c r="J131" s="20" t="s">
        <v>1505</v>
      </c>
      <c r="K131" s="18" t="s">
        <v>34</v>
      </c>
      <c r="L131" s="18">
        <v>10</v>
      </c>
      <c r="M131" s="18" t="s">
        <v>1506</v>
      </c>
      <c r="N131" s="18" t="s">
        <v>1507</v>
      </c>
      <c r="O131" s="18" t="s">
        <v>1508</v>
      </c>
      <c r="P131" s="18" t="s">
        <v>1509</v>
      </c>
      <c r="Q131" s="18"/>
      <c r="R131" s="18" t="s">
        <v>1510</v>
      </c>
      <c r="S131" s="18" t="s">
        <v>1511</v>
      </c>
      <c r="T131" s="18" t="s">
        <v>1512</v>
      </c>
      <c r="U131" s="21" t="s">
        <v>1513</v>
      </c>
      <c r="V131" s="18"/>
      <c r="W131" s="18"/>
      <c r="X131" s="18"/>
      <c r="Y131" s="18"/>
      <c r="Z131" s="202" t="s">
        <v>1514</v>
      </c>
      <c r="AA131" s="186"/>
      <c r="AB131" s="186"/>
      <c r="AC131" s="186"/>
      <c r="AD131" s="186"/>
      <c r="AE131" s="188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</row>
    <row r="132" spans="1:54" ht="21" customHeight="1" x14ac:dyDescent="0.3">
      <c r="A132" s="1">
        <v>126</v>
      </c>
      <c r="B132" s="204"/>
      <c r="C132" s="204"/>
      <c r="D132" s="16"/>
      <c r="E132" s="24" t="s">
        <v>1515</v>
      </c>
      <c r="F132" s="37" t="s">
        <v>1516</v>
      </c>
      <c r="G132" s="37" t="s">
        <v>1517</v>
      </c>
      <c r="H132" s="37" t="s">
        <v>1518</v>
      </c>
      <c r="I132" s="43" t="s">
        <v>443</v>
      </c>
      <c r="J132" s="44" t="s">
        <v>1519</v>
      </c>
      <c r="K132" s="37" t="s">
        <v>34</v>
      </c>
      <c r="L132" s="37">
        <v>10</v>
      </c>
      <c r="M132" s="37" t="s">
        <v>1520</v>
      </c>
      <c r="N132" s="37" t="s">
        <v>1521</v>
      </c>
      <c r="O132" s="37" t="s">
        <v>1522</v>
      </c>
      <c r="P132" s="37" t="s">
        <v>1523</v>
      </c>
      <c r="Q132" s="45"/>
      <c r="R132" s="37" t="s">
        <v>1524</v>
      </c>
      <c r="S132" s="37" t="s">
        <v>1525</v>
      </c>
      <c r="T132" s="37" t="s">
        <v>1526</v>
      </c>
      <c r="U132" s="46" t="s">
        <v>1527</v>
      </c>
      <c r="V132" s="45"/>
      <c r="W132" s="45"/>
      <c r="X132" s="45"/>
      <c r="Y132" s="45"/>
      <c r="Z132" s="212" t="s">
        <v>1528</v>
      </c>
      <c r="AA132" s="186"/>
      <c r="AB132" s="186"/>
      <c r="AC132" s="186"/>
      <c r="AD132" s="186"/>
      <c r="AE132" s="188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</row>
    <row r="133" spans="1:54" ht="21" customHeight="1" x14ac:dyDescent="0.3">
      <c r="A133" s="1">
        <v>127</v>
      </c>
      <c r="B133" s="204"/>
      <c r="C133" s="204"/>
      <c r="D133" s="16"/>
      <c r="E133" s="17" t="s">
        <v>1529</v>
      </c>
      <c r="F133" s="18" t="s">
        <v>1530</v>
      </c>
      <c r="G133" s="18" t="s">
        <v>1531</v>
      </c>
      <c r="H133" s="18" t="s">
        <v>1532</v>
      </c>
      <c r="I133" s="19" t="s">
        <v>898</v>
      </c>
      <c r="J133" s="18" t="s">
        <v>1533</v>
      </c>
      <c r="K133" s="18" t="s">
        <v>34</v>
      </c>
      <c r="L133" s="18">
        <v>10</v>
      </c>
      <c r="M133" s="18" t="s">
        <v>1534</v>
      </c>
      <c r="N133" s="18" t="s">
        <v>1535</v>
      </c>
      <c r="O133" s="18" t="s">
        <v>1536</v>
      </c>
      <c r="P133" s="18" t="s">
        <v>1537</v>
      </c>
      <c r="Q133" s="18"/>
      <c r="R133" s="18"/>
      <c r="S133" s="18" t="s">
        <v>1538</v>
      </c>
      <c r="T133" s="18" t="s">
        <v>1539</v>
      </c>
      <c r="U133" s="21" t="s">
        <v>58</v>
      </c>
      <c r="V133" s="18"/>
      <c r="W133" s="18"/>
      <c r="X133" s="18"/>
      <c r="Y133" s="18"/>
      <c r="Z133" s="202" t="s">
        <v>1540</v>
      </c>
      <c r="AA133" s="186"/>
      <c r="AB133" s="186"/>
      <c r="AC133" s="186"/>
      <c r="AD133" s="186"/>
      <c r="AE133" s="188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</row>
    <row r="134" spans="1:54" ht="21" customHeight="1" x14ac:dyDescent="0.3">
      <c r="A134" s="1">
        <v>128</v>
      </c>
      <c r="B134" s="205"/>
      <c r="C134" s="205"/>
      <c r="D134" s="16"/>
      <c r="E134" s="17" t="s">
        <v>1541</v>
      </c>
      <c r="F134" s="37" t="s">
        <v>1542</v>
      </c>
      <c r="G134" s="37" t="s">
        <v>1543</v>
      </c>
      <c r="H134" s="37" t="s">
        <v>1544</v>
      </c>
      <c r="I134" s="43" t="s">
        <v>194</v>
      </c>
      <c r="J134" s="47" t="s">
        <v>1545</v>
      </c>
      <c r="K134" s="37" t="s">
        <v>34</v>
      </c>
      <c r="L134" s="37">
        <v>10</v>
      </c>
      <c r="M134" s="37" t="s">
        <v>1546</v>
      </c>
      <c r="N134" s="37"/>
      <c r="O134" s="37" t="s">
        <v>1547</v>
      </c>
      <c r="P134" s="37" t="s">
        <v>1548</v>
      </c>
      <c r="Q134" s="37"/>
      <c r="R134" s="37"/>
      <c r="S134" s="37" t="s">
        <v>1549</v>
      </c>
      <c r="T134" s="37" t="s">
        <v>1550</v>
      </c>
      <c r="U134" s="48" t="s">
        <v>43</v>
      </c>
      <c r="V134" s="37"/>
      <c r="W134" s="37"/>
      <c r="X134" s="37"/>
      <c r="Y134" s="37"/>
      <c r="Z134" s="212" t="s">
        <v>1551</v>
      </c>
      <c r="AA134" s="186"/>
      <c r="AB134" s="186"/>
      <c r="AC134" s="186"/>
      <c r="AD134" s="186"/>
      <c r="AE134" s="188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</row>
    <row r="135" spans="1:54" ht="21" customHeight="1" x14ac:dyDescent="0.3">
      <c r="A135" s="1">
        <v>129</v>
      </c>
      <c r="B135" s="211" t="str">
        <f>"H11
("&amp;COUNTA(E135:E151)&amp;")"</f>
        <v>H11
(17)</v>
      </c>
      <c r="C135" s="206" t="s">
        <v>1552</v>
      </c>
      <c r="D135" s="49" t="s">
        <v>1553</v>
      </c>
      <c r="E135" s="39" t="s">
        <v>1554</v>
      </c>
      <c r="F135" s="37" t="s">
        <v>1555</v>
      </c>
      <c r="G135" s="37" t="s">
        <v>1556</v>
      </c>
      <c r="H135" s="37" t="s">
        <v>1557</v>
      </c>
      <c r="I135" s="43" t="s">
        <v>1558</v>
      </c>
      <c r="J135" s="50" t="s">
        <v>1559</v>
      </c>
      <c r="K135" s="37" t="s">
        <v>51</v>
      </c>
      <c r="L135" s="37">
        <v>11</v>
      </c>
      <c r="M135" s="50" t="s">
        <v>1560</v>
      </c>
      <c r="N135" s="37" t="s">
        <v>1561</v>
      </c>
      <c r="O135" s="37" t="s">
        <v>1562</v>
      </c>
      <c r="P135" s="37" t="s">
        <v>1563</v>
      </c>
      <c r="Q135" s="37"/>
      <c r="R135" s="37" t="s">
        <v>1564</v>
      </c>
      <c r="S135" s="37" t="s">
        <v>1565</v>
      </c>
      <c r="T135" s="37" t="s">
        <v>415</v>
      </c>
      <c r="U135" s="46" t="s">
        <v>1440</v>
      </c>
      <c r="V135" s="37"/>
      <c r="W135" s="37"/>
      <c r="X135" s="37"/>
      <c r="Y135" s="37"/>
      <c r="Z135" s="212"/>
      <c r="AA135" s="186"/>
      <c r="AB135" s="186"/>
      <c r="AC135" s="186"/>
      <c r="AD135" s="186"/>
      <c r="AE135" s="188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</row>
    <row r="136" spans="1:54" ht="21" customHeight="1" x14ac:dyDescent="0.3">
      <c r="A136" s="1">
        <v>130</v>
      </c>
      <c r="B136" s="204"/>
      <c r="C136" s="204"/>
      <c r="D136" s="52"/>
      <c r="E136" s="39" t="s">
        <v>1566</v>
      </c>
      <c r="F136" s="37" t="s">
        <v>1567</v>
      </c>
      <c r="G136" s="37" t="s">
        <v>1568</v>
      </c>
      <c r="H136" s="37" t="s">
        <v>1569</v>
      </c>
      <c r="I136" s="43" t="s">
        <v>1163</v>
      </c>
      <c r="J136" s="50" t="s">
        <v>1570</v>
      </c>
      <c r="K136" s="37" t="s">
        <v>34</v>
      </c>
      <c r="L136" s="37">
        <v>11</v>
      </c>
      <c r="M136" s="50" t="s">
        <v>1571</v>
      </c>
      <c r="N136" s="37" t="s">
        <v>1572</v>
      </c>
      <c r="O136" s="37" t="s">
        <v>1573</v>
      </c>
      <c r="P136" s="37" t="s">
        <v>1574</v>
      </c>
      <c r="Q136" s="37"/>
      <c r="R136" s="37" t="s">
        <v>1575</v>
      </c>
      <c r="S136" s="37" t="s">
        <v>1576</v>
      </c>
      <c r="T136" s="37" t="s">
        <v>1577</v>
      </c>
      <c r="U136" s="46" t="s">
        <v>1440</v>
      </c>
      <c r="V136" s="37"/>
      <c r="W136" s="37"/>
      <c r="X136" s="37"/>
      <c r="Y136" s="37"/>
      <c r="Z136" s="212" t="s">
        <v>1578</v>
      </c>
      <c r="AA136" s="186"/>
      <c r="AB136" s="186"/>
      <c r="AC136" s="186"/>
      <c r="AD136" s="186"/>
      <c r="AE136" s="188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</row>
    <row r="137" spans="1:54" ht="21" customHeight="1" x14ac:dyDescent="0.3">
      <c r="A137" s="1">
        <v>131</v>
      </c>
      <c r="B137" s="204"/>
      <c r="C137" s="204"/>
      <c r="D137" s="16"/>
      <c r="E137" s="18" t="s">
        <v>1579</v>
      </c>
      <c r="F137" s="37" t="s">
        <v>1580</v>
      </c>
      <c r="G137" s="37" t="s">
        <v>1581</v>
      </c>
      <c r="H137" s="37" t="s">
        <v>1582</v>
      </c>
      <c r="I137" s="43" t="s">
        <v>1583</v>
      </c>
      <c r="J137" s="50" t="s">
        <v>1584</v>
      </c>
      <c r="K137" s="37" t="s">
        <v>34</v>
      </c>
      <c r="L137" s="37">
        <v>11</v>
      </c>
      <c r="M137" s="50" t="s">
        <v>1585</v>
      </c>
      <c r="N137" s="37" t="s">
        <v>1586</v>
      </c>
      <c r="O137" s="37" t="s">
        <v>1587</v>
      </c>
      <c r="P137" s="37" t="s">
        <v>1588</v>
      </c>
      <c r="Q137" s="37" t="s">
        <v>1589</v>
      </c>
      <c r="R137" s="37" t="s">
        <v>1590</v>
      </c>
      <c r="S137" s="37" t="s">
        <v>1591</v>
      </c>
      <c r="T137" s="37" t="s">
        <v>1592</v>
      </c>
      <c r="U137" s="46" t="s">
        <v>416</v>
      </c>
      <c r="V137" s="37"/>
      <c r="W137" s="37"/>
      <c r="X137" s="37"/>
      <c r="Y137" s="37"/>
      <c r="Z137" s="212" t="s">
        <v>1593</v>
      </c>
      <c r="AA137" s="186"/>
      <c r="AB137" s="186"/>
      <c r="AC137" s="186"/>
      <c r="AD137" s="186"/>
      <c r="AE137" s="188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spans="1:54" ht="21" customHeight="1" x14ac:dyDescent="0.3">
      <c r="A138" s="1">
        <v>132</v>
      </c>
      <c r="B138" s="204"/>
      <c r="C138" s="204"/>
      <c r="D138" s="16"/>
      <c r="E138" s="18" t="s">
        <v>1594</v>
      </c>
      <c r="F138" s="37" t="s">
        <v>1595</v>
      </c>
      <c r="G138" s="37" t="s">
        <v>275</v>
      </c>
      <c r="H138" s="37" t="s">
        <v>1596</v>
      </c>
      <c r="I138" s="43" t="s">
        <v>1368</v>
      </c>
      <c r="J138" s="31" t="s">
        <v>1597</v>
      </c>
      <c r="K138" s="37" t="s">
        <v>51</v>
      </c>
      <c r="L138" s="37">
        <v>11</v>
      </c>
      <c r="M138" s="50" t="s">
        <v>1598</v>
      </c>
      <c r="N138" s="37" t="s">
        <v>1599</v>
      </c>
      <c r="O138" s="37" t="s">
        <v>1600</v>
      </c>
      <c r="P138" s="37" t="s">
        <v>1601</v>
      </c>
      <c r="Q138" s="37" t="s">
        <v>1602</v>
      </c>
      <c r="R138" s="37" t="s">
        <v>1603</v>
      </c>
      <c r="S138" s="37" t="s">
        <v>1604</v>
      </c>
      <c r="T138" s="37" t="s">
        <v>1605</v>
      </c>
      <c r="U138" s="46" t="s">
        <v>416</v>
      </c>
      <c r="V138" s="37"/>
      <c r="W138" s="37"/>
      <c r="X138" s="37"/>
      <c r="Y138" s="37"/>
      <c r="Z138" s="212" t="s">
        <v>1606</v>
      </c>
      <c r="AA138" s="186"/>
      <c r="AB138" s="186"/>
      <c r="AC138" s="186"/>
      <c r="AD138" s="186"/>
      <c r="AE138" s="188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</row>
    <row r="139" spans="1:54" ht="21" customHeight="1" x14ac:dyDescent="0.3">
      <c r="A139" s="1">
        <v>133</v>
      </c>
      <c r="B139" s="204"/>
      <c r="C139" s="204"/>
      <c r="D139" s="16"/>
      <c r="E139" s="53" t="s">
        <v>1607</v>
      </c>
      <c r="F139" s="37" t="s">
        <v>1608</v>
      </c>
      <c r="G139" s="37" t="s">
        <v>1609</v>
      </c>
      <c r="H139" s="37" t="s">
        <v>1610</v>
      </c>
      <c r="I139" s="43" t="s">
        <v>838</v>
      </c>
      <c r="J139" s="50" t="s">
        <v>1053</v>
      </c>
      <c r="K139" s="37" t="s">
        <v>34</v>
      </c>
      <c r="L139" s="37">
        <v>11</v>
      </c>
      <c r="M139" s="50" t="s">
        <v>1611</v>
      </c>
      <c r="N139" s="37" t="s">
        <v>1055</v>
      </c>
      <c r="O139" s="37" t="s">
        <v>1056</v>
      </c>
      <c r="P139" s="37" t="s">
        <v>1057</v>
      </c>
      <c r="Q139" s="37"/>
      <c r="R139" s="37" t="s">
        <v>1058</v>
      </c>
      <c r="S139" s="37" t="s">
        <v>1059</v>
      </c>
      <c r="T139" s="37" t="s">
        <v>1612</v>
      </c>
      <c r="U139" s="46" t="s">
        <v>1349</v>
      </c>
      <c r="V139" s="37"/>
      <c r="W139" s="37"/>
      <c r="X139" s="37" t="s">
        <v>1350</v>
      </c>
      <c r="Y139" s="37"/>
      <c r="Z139" s="212" t="s">
        <v>1349</v>
      </c>
      <c r="AA139" s="186"/>
      <c r="AB139" s="186"/>
      <c r="AC139" s="186"/>
      <c r="AD139" s="186"/>
      <c r="AE139" s="188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</row>
    <row r="140" spans="1:54" ht="21" customHeight="1" x14ac:dyDescent="0.3">
      <c r="A140" s="1">
        <v>134</v>
      </c>
      <c r="B140" s="204"/>
      <c r="C140" s="204"/>
      <c r="D140" s="16"/>
      <c r="E140" s="17" t="s">
        <v>1613</v>
      </c>
      <c r="F140" s="37" t="s">
        <v>1614</v>
      </c>
      <c r="G140" s="37" t="s">
        <v>328</v>
      </c>
      <c r="H140" s="37" t="s">
        <v>1615</v>
      </c>
      <c r="I140" s="19" t="s">
        <v>1332</v>
      </c>
      <c r="J140" s="31" t="s">
        <v>1333</v>
      </c>
      <c r="K140" s="37" t="s">
        <v>34</v>
      </c>
      <c r="L140" s="37">
        <v>11</v>
      </c>
      <c r="M140" s="50" t="s">
        <v>1598</v>
      </c>
      <c r="N140" s="37" t="s">
        <v>1335</v>
      </c>
      <c r="O140" s="37" t="s">
        <v>1336</v>
      </c>
      <c r="P140" s="37" t="s">
        <v>1337</v>
      </c>
      <c r="Q140" s="37"/>
      <c r="R140" s="37" t="s">
        <v>1338</v>
      </c>
      <c r="S140" s="37" t="s">
        <v>1339</v>
      </c>
      <c r="T140" s="37" t="s">
        <v>1616</v>
      </c>
      <c r="U140" s="46" t="s">
        <v>1341</v>
      </c>
      <c r="V140" s="37"/>
      <c r="W140" s="37"/>
      <c r="X140" s="37"/>
      <c r="Y140" s="37"/>
      <c r="Z140" s="212" t="s">
        <v>1617</v>
      </c>
      <c r="AA140" s="186"/>
      <c r="AB140" s="186"/>
      <c r="AC140" s="186"/>
      <c r="AD140" s="186"/>
      <c r="AE140" s="188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</row>
    <row r="141" spans="1:54" ht="21" customHeight="1" x14ac:dyDescent="0.3">
      <c r="A141" s="1">
        <v>135</v>
      </c>
      <c r="B141" s="204"/>
      <c r="C141" s="204"/>
      <c r="D141" s="16"/>
      <c r="E141" s="17" t="s">
        <v>1618</v>
      </c>
      <c r="F141" s="37" t="s">
        <v>1619</v>
      </c>
      <c r="G141" s="37" t="s">
        <v>1620</v>
      </c>
      <c r="H141" s="37" t="s">
        <v>1621</v>
      </c>
      <c r="I141" s="43" t="s">
        <v>1431</v>
      </c>
      <c r="J141" s="47" t="s">
        <v>1622</v>
      </c>
      <c r="K141" s="37" t="s">
        <v>51</v>
      </c>
      <c r="L141" s="37">
        <v>11</v>
      </c>
      <c r="M141" s="50" t="s">
        <v>1623</v>
      </c>
      <c r="N141" s="37" t="s">
        <v>1624</v>
      </c>
      <c r="O141" s="37" t="s">
        <v>1625</v>
      </c>
      <c r="P141" s="37" t="s">
        <v>1626</v>
      </c>
      <c r="Q141" s="37"/>
      <c r="R141" s="37" t="s">
        <v>1627</v>
      </c>
      <c r="S141" s="37" t="s">
        <v>1628</v>
      </c>
      <c r="T141" s="37" t="s">
        <v>1629</v>
      </c>
      <c r="U141" s="46" t="s">
        <v>1630</v>
      </c>
      <c r="V141" s="37"/>
      <c r="W141" s="37"/>
      <c r="X141" s="37"/>
      <c r="Y141" s="37"/>
      <c r="Z141" s="212" t="s">
        <v>1631</v>
      </c>
      <c r="AA141" s="186"/>
      <c r="AB141" s="186"/>
      <c r="AC141" s="186"/>
      <c r="AD141" s="186"/>
      <c r="AE141" s="188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</row>
    <row r="142" spans="1:54" ht="21" customHeight="1" x14ac:dyDescent="0.3">
      <c r="A142" s="1">
        <v>136</v>
      </c>
      <c r="B142" s="204"/>
      <c r="C142" s="204"/>
      <c r="D142" s="16"/>
      <c r="E142" s="17" t="s">
        <v>1632</v>
      </c>
      <c r="F142" s="37" t="s">
        <v>1633</v>
      </c>
      <c r="G142" s="37" t="s">
        <v>700</v>
      </c>
      <c r="H142" s="37" t="s">
        <v>1634</v>
      </c>
      <c r="I142" s="43" t="s">
        <v>1635</v>
      </c>
      <c r="J142" s="50" t="s">
        <v>1636</v>
      </c>
      <c r="K142" s="37" t="s">
        <v>34</v>
      </c>
      <c r="L142" s="37">
        <v>11</v>
      </c>
      <c r="M142" s="50" t="s">
        <v>1637</v>
      </c>
      <c r="N142" s="37" t="s">
        <v>1638</v>
      </c>
      <c r="O142" s="37" t="s">
        <v>1639</v>
      </c>
      <c r="P142" s="37" t="s">
        <v>1640</v>
      </c>
      <c r="Q142" s="37"/>
      <c r="R142" s="37" t="s">
        <v>1641</v>
      </c>
      <c r="S142" s="37" t="s">
        <v>1642</v>
      </c>
      <c r="T142" s="37" t="s">
        <v>1643</v>
      </c>
      <c r="U142" s="46" t="s">
        <v>1075</v>
      </c>
      <c r="V142" s="37"/>
      <c r="W142" s="37"/>
      <c r="X142" s="37"/>
      <c r="Y142" s="37"/>
      <c r="Z142" s="212" t="s">
        <v>1644</v>
      </c>
      <c r="AA142" s="186"/>
      <c r="AB142" s="186"/>
      <c r="AC142" s="186"/>
      <c r="AD142" s="186"/>
      <c r="AE142" s="188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</row>
    <row r="143" spans="1:54" ht="21" customHeight="1" x14ac:dyDescent="0.3">
      <c r="A143" s="1">
        <v>137</v>
      </c>
      <c r="B143" s="204"/>
      <c r="C143" s="204"/>
      <c r="D143" s="16"/>
      <c r="E143" s="17" t="s">
        <v>1645</v>
      </c>
      <c r="F143" s="37" t="s">
        <v>1646</v>
      </c>
      <c r="G143" s="37" t="s">
        <v>180</v>
      </c>
      <c r="H143" s="37" t="s">
        <v>1647</v>
      </c>
      <c r="I143" s="43" t="s">
        <v>1648</v>
      </c>
      <c r="J143" s="50" t="s">
        <v>1649</v>
      </c>
      <c r="K143" s="37" t="s">
        <v>51</v>
      </c>
      <c r="L143" s="37">
        <v>11</v>
      </c>
      <c r="M143" s="50" t="s">
        <v>1650</v>
      </c>
      <c r="N143" s="37" t="s">
        <v>1651</v>
      </c>
      <c r="O143" s="37" t="s">
        <v>1652</v>
      </c>
      <c r="P143" s="37" t="s">
        <v>1653</v>
      </c>
      <c r="Q143" s="37"/>
      <c r="R143" s="37" t="s">
        <v>1654</v>
      </c>
      <c r="S143" s="37" t="s">
        <v>1655</v>
      </c>
      <c r="T143" s="37" t="s">
        <v>1656</v>
      </c>
      <c r="U143" s="46" t="s">
        <v>1657</v>
      </c>
      <c r="V143" s="37"/>
      <c r="W143" s="37"/>
      <c r="X143" s="37"/>
      <c r="Y143" s="37"/>
      <c r="Z143" s="212" t="s">
        <v>1658</v>
      </c>
      <c r="AA143" s="186"/>
      <c r="AB143" s="186"/>
      <c r="AC143" s="186"/>
      <c r="AD143" s="186"/>
      <c r="AE143" s="188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</row>
    <row r="144" spans="1:54" ht="21" customHeight="1" x14ac:dyDescent="0.3">
      <c r="A144" s="1">
        <v>138</v>
      </c>
      <c r="B144" s="204"/>
      <c r="C144" s="204"/>
      <c r="D144" s="16"/>
      <c r="E144" s="24" t="s">
        <v>1659</v>
      </c>
      <c r="F144" s="37" t="s">
        <v>1660</v>
      </c>
      <c r="G144" s="37" t="s">
        <v>1661</v>
      </c>
      <c r="H144" s="37" t="s">
        <v>1662</v>
      </c>
      <c r="I144" s="43" t="s">
        <v>1122</v>
      </c>
      <c r="J144" s="50" t="s">
        <v>1663</v>
      </c>
      <c r="K144" s="37" t="s">
        <v>34</v>
      </c>
      <c r="L144" s="37">
        <v>11</v>
      </c>
      <c r="M144" s="50" t="s">
        <v>1664</v>
      </c>
      <c r="N144" s="37" t="s">
        <v>1125</v>
      </c>
      <c r="O144" s="37" t="s">
        <v>1126</v>
      </c>
      <c r="P144" s="37" t="s">
        <v>1665</v>
      </c>
      <c r="Q144" s="37"/>
      <c r="R144" s="37" t="s">
        <v>1128</v>
      </c>
      <c r="S144" s="37" t="s">
        <v>1129</v>
      </c>
      <c r="T144" s="37" t="s">
        <v>1666</v>
      </c>
      <c r="U144" s="46" t="s">
        <v>359</v>
      </c>
      <c r="V144" s="37"/>
      <c r="W144" s="37"/>
      <c r="X144" s="37"/>
      <c r="Y144" s="37"/>
      <c r="Z144" s="212" t="s">
        <v>1667</v>
      </c>
      <c r="AA144" s="186"/>
      <c r="AB144" s="186"/>
      <c r="AC144" s="186"/>
      <c r="AD144" s="186"/>
      <c r="AE144" s="188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</row>
    <row r="145" spans="1:54" ht="21" customHeight="1" x14ac:dyDescent="0.3">
      <c r="A145" s="1">
        <v>139</v>
      </c>
      <c r="B145" s="204"/>
      <c r="C145" s="204"/>
      <c r="D145" s="16"/>
      <c r="E145" s="17" t="s">
        <v>1668</v>
      </c>
      <c r="F145" s="37" t="s">
        <v>1669</v>
      </c>
      <c r="G145" s="37" t="s">
        <v>734</v>
      </c>
      <c r="H145" s="37" t="s">
        <v>1670</v>
      </c>
      <c r="I145" s="43" t="s">
        <v>1479</v>
      </c>
      <c r="J145" s="50" t="s">
        <v>1480</v>
      </c>
      <c r="K145" s="37" t="s">
        <v>34</v>
      </c>
      <c r="L145" s="37">
        <v>11</v>
      </c>
      <c r="M145" s="50" t="s">
        <v>1671</v>
      </c>
      <c r="N145" s="37" t="s">
        <v>1482</v>
      </c>
      <c r="O145" s="37" t="s">
        <v>1483</v>
      </c>
      <c r="P145" s="18" t="s">
        <v>1484</v>
      </c>
      <c r="Q145" s="37"/>
      <c r="R145" s="37" t="s">
        <v>1485</v>
      </c>
      <c r="S145" s="37" t="s">
        <v>1486</v>
      </c>
      <c r="T145" s="37" t="s">
        <v>1672</v>
      </c>
      <c r="U145" s="46" t="s">
        <v>359</v>
      </c>
      <c r="V145" s="37"/>
      <c r="W145" s="37"/>
      <c r="X145" s="37"/>
      <c r="Y145" s="37"/>
      <c r="Z145" s="212" t="s">
        <v>1487</v>
      </c>
      <c r="AA145" s="186"/>
      <c r="AB145" s="186"/>
      <c r="AC145" s="186"/>
      <c r="AD145" s="186"/>
      <c r="AE145" s="188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</row>
    <row r="146" spans="1:54" ht="21" customHeight="1" x14ac:dyDescent="0.3">
      <c r="A146" s="1">
        <v>140</v>
      </c>
      <c r="B146" s="204"/>
      <c r="C146" s="204"/>
      <c r="D146" s="16"/>
      <c r="E146" s="24" t="s">
        <v>1673</v>
      </c>
      <c r="F146" s="37" t="s">
        <v>1674</v>
      </c>
      <c r="G146" s="37" t="s">
        <v>1675</v>
      </c>
      <c r="H146" s="37" t="s">
        <v>1676</v>
      </c>
      <c r="I146" s="43" t="s">
        <v>1677</v>
      </c>
      <c r="J146" s="50" t="s">
        <v>1678</v>
      </c>
      <c r="K146" s="37" t="s">
        <v>34</v>
      </c>
      <c r="L146" s="37">
        <v>11</v>
      </c>
      <c r="M146" s="37" t="s">
        <v>1679</v>
      </c>
      <c r="N146" s="37" t="s">
        <v>1680</v>
      </c>
      <c r="O146" s="37" t="s">
        <v>1681</v>
      </c>
      <c r="P146" s="37" t="s">
        <v>1682</v>
      </c>
      <c r="Q146" s="45"/>
      <c r="R146" s="37" t="s">
        <v>1683</v>
      </c>
      <c r="S146" s="37" t="s">
        <v>1684</v>
      </c>
      <c r="T146" s="37" t="s">
        <v>1685</v>
      </c>
      <c r="U146" s="46" t="s">
        <v>1686</v>
      </c>
      <c r="V146" s="45"/>
      <c r="W146" s="45"/>
      <c r="X146" s="45"/>
      <c r="Y146" s="45"/>
      <c r="Z146" s="212" t="s">
        <v>1687</v>
      </c>
      <c r="AA146" s="186"/>
      <c r="AB146" s="186"/>
      <c r="AC146" s="186"/>
      <c r="AD146" s="186"/>
      <c r="AE146" s="188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</row>
    <row r="147" spans="1:54" ht="21" customHeight="1" x14ac:dyDescent="0.3">
      <c r="A147" s="1">
        <v>141</v>
      </c>
      <c r="B147" s="204"/>
      <c r="C147" s="204"/>
      <c r="D147" s="16"/>
      <c r="E147" s="17" t="s">
        <v>1688</v>
      </c>
      <c r="F147" s="18" t="s">
        <v>1689</v>
      </c>
      <c r="G147" s="18" t="s">
        <v>1690</v>
      </c>
      <c r="H147" s="18" t="s">
        <v>1691</v>
      </c>
      <c r="I147" s="19" t="s">
        <v>1692</v>
      </c>
      <c r="J147" s="18" t="s">
        <v>1693</v>
      </c>
      <c r="K147" s="18" t="s">
        <v>51</v>
      </c>
      <c r="L147" s="18">
        <v>11</v>
      </c>
      <c r="M147" s="18" t="s">
        <v>1694</v>
      </c>
      <c r="N147" s="18" t="s">
        <v>1695</v>
      </c>
      <c r="O147" s="18" t="s">
        <v>1696</v>
      </c>
      <c r="P147" s="18" t="s">
        <v>1697</v>
      </c>
      <c r="Q147" s="18"/>
      <c r="R147" s="18" t="s">
        <v>1698</v>
      </c>
      <c r="S147" s="18" t="s">
        <v>1699</v>
      </c>
      <c r="T147" s="18" t="s">
        <v>1700</v>
      </c>
      <c r="U147" s="21" t="s">
        <v>58</v>
      </c>
      <c r="V147" s="18"/>
      <c r="W147" s="18"/>
      <c r="X147" s="18"/>
      <c r="Y147" s="18"/>
      <c r="Z147" s="202" t="s">
        <v>1701</v>
      </c>
      <c r="AA147" s="186"/>
      <c r="AB147" s="186"/>
      <c r="AC147" s="186"/>
      <c r="AD147" s="186"/>
      <c r="AE147" s="188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</row>
    <row r="148" spans="1:54" ht="21" customHeight="1" x14ac:dyDescent="0.3">
      <c r="A148" s="1">
        <v>142</v>
      </c>
      <c r="B148" s="204"/>
      <c r="C148" s="204"/>
      <c r="D148" s="16"/>
      <c r="E148" s="17" t="s">
        <v>1702</v>
      </c>
      <c r="F148" s="18" t="s">
        <v>1703</v>
      </c>
      <c r="G148" s="18" t="s">
        <v>700</v>
      </c>
      <c r="H148" s="18" t="s">
        <v>1704</v>
      </c>
      <c r="I148" s="19" t="s">
        <v>669</v>
      </c>
      <c r="J148" s="18" t="s">
        <v>1705</v>
      </c>
      <c r="K148" s="18" t="s">
        <v>34</v>
      </c>
      <c r="L148" s="18">
        <v>11</v>
      </c>
      <c r="M148" s="18" t="s">
        <v>1706</v>
      </c>
      <c r="N148" s="18" t="s">
        <v>1707</v>
      </c>
      <c r="O148" s="18" t="s">
        <v>1708</v>
      </c>
      <c r="P148" s="18" t="s">
        <v>1709</v>
      </c>
      <c r="Q148" s="18"/>
      <c r="R148" s="18" t="s">
        <v>1710</v>
      </c>
      <c r="S148" s="18" t="s">
        <v>1711</v>
      </c>
      <c r="T148" s="18" t="s">
        <v>1712</v>
      </c>
      <c r="U148" s="21" t="s">
        <v>1713</v>
      </c>
      <c r="V148" s="18"/>
      <c r="W148" s="18"/>
      <c r="X148" s="18"/>
      <c r="Y148" s="18"/>
      <c r="Z148" s="202" t="s">
        <v>1714</v>
      </c>
      <c r="AA148" s="186"/>
      <c r="AB148" s="186"/>
      <c r="AC148" s="186"/>
      <c r="AD148" s="186"/>
      <c r="AE148" s="188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</row>
    <row r="149" spans="1:54" ht="21" customHeight="1" x14ac:dyDescent="0.3">
      <c r="A149" s="1">
        <v>143</v>
      </c>
      <c r="B149" s="204"/>
      <c r="C149" s="204"/>
      <c r="D149" s="16"/>
      <c r="E149" s="17" t="s">
        <v>1715</v>
      </c>
      <c r="F149" s="18" t="s">
        <v>1716</v>
      </c>
      <c r="G149" s="18" t="s">
        <v>192</v>
      </c>
      <c r="H149" s="18" t="s">
        <v>1717</v>
      </c>
      <c r="I149" s="19" t="s">
        <v>1718</v>
      </c>
      <c r="J149" s="20" t="s">
        <v>1719</v>
      </c>
      <c r="K149" s="18" t="s">
        <v>51</v>
      </c>
      <c r="L149" s="18">
        <v>11</v>
      </c>
      <c r="M149" s="20" t="s">
        <v>1720</v>
      </c>
      <c r="N149" s="18" t="s">
        <v>1721</v>
      </c>
      <c r="O149" s="18" t="s">
        <v>1722</v>
      </c>
      <c r="P149" s="18" t="s">
        <v>1723</v>
      </c>
      <c r="Q149" s="18"/>
      <c r="R149" s="18" t="s">
        <v>1724</v>
      </c>
      <c r="S149" s="18" t="s">
        <v>1725</v>
      </c>
      <c r="T149" s="18" t="s">
        <v>1726</v>
      </c>
      <c r="U149" s="21" t="s">
        <v>359</v>
      </c>
      <c r="V149" s="18"/>
      <c r="W149" s="18"/>
      <c r="X149" s="18"/>
      <c r="Y149" s="18"/>
      <c r="Z149" s="202" t="s">
        <v>1727</v>
      </c>
      <c r="AA149" s="186"/>
      <c r="AB149" s="186"/>
      <c r="AC149" s="186"/>
      <c r="AD149" s="186"/>
      <c r="AE149" s="188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</row>
    <row r="150" spans="1:54" ht="21" customHeight="1" x14ac:dyDescent="0.3">
      <c r="A150" s="1">
        <v>144</v>
      </c>
      <c r="B150" s="204"/>
      <c r="C150" s="204"/>
      <c r="D150" s="25" t="s">
        <v>97</v>
      </c>
      <c r="E150" s="17" t="s">
        <v>1728</v>
      </c>
      <c r="F150" s="17" t="s">
        <v>1729</v>
      </c>
      <c r="G150" s="17" t="s">
        <v>1730</v>
      </c>
      <c r="H150" s="17" t="s">
        <v>1731</v>
      </c>
      <c r="I150" s="26" t="s">
        <v>130</v>
      </c>
      <c r="J150" s="29" t="s">
        <v>595</v>
      </c>
      <c r="K150" s="17" t="s">
        <v>34</v>
      </c>
      <c r="L150" s="17">
        <v>11</v>
      </c>
      <c r="M150" s="17" t="s">
        <v>1732</v>
      </c>
      <c r="N150" s="17" t="s">
        <v>597</v>
      </c>
      <c r="O150" s="17" t="s">
        <v>598</v>
      </c>
      <c r="P150" s="17" t="s">
        <v>599</v>
      </c>
      <c r="Q150" s="17"/>
      <c r="R150" s="17" t="s">
        <v>600</v>
      </c>
      <c r="S150" s="17" t="s">
        <v>601</v>
      </c>
      <c r="T150" s="17" t="s">
        <v>1733</v>
      </c>
      <c r="U150" s="30" t="s">
        <v>1734</v>
      </c>
      <c r="V150" s="54"/>
      <c r="W150" s="54"/>
      <c r="X150" s="54"/>
      <c r="Y150" s="54"/>
      <c r="Z150" s="195" t="s">
        <v>1735</v>
      </c>
      <c r="AA150" s="186"/>
      <c r="AB150" s="186"/>
      <c r="AC150" s="186"/>
      <c r="AD150" s="186"/>
      <c r="AE150" s="188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</row>
    <row r="151" spans="1:54" ht="21" customHeight="1" x14ac:dyDescent="0.3">
      <c r="A151" s="1">
        <v>145</v>
      </c>
      <c r="B151" s="205"/>
      <c r="C151" s="205"/>
      <c r="D151" s="16"/>
      <c r="E151" s="17" t="s">
        <v>1736</v>
      </c>
      <c r="F151" s="18" t="s">
        <v>1737</v>
      </c>
      <c r="G151" s="18" t="s">
        <v>1581</v>
      </c>
      <c r="H151" s="18" t="s">
        <v>1738</v>
      </c>
      <c r="I151" s="19" t="s">
        <v>669</v>
      </c>
      <c r="J151" s="20" t="s">
        <v>1739</v>
      </c>
      <c r="K151" s="18" t="s">
        <v>34</v>
      </c>
      <c r="L151" s="18">
        <v>11</v>
      </c>
      <c r="M151" s="18" t="s">
        <v>1740</v>
      </c>
      <c r="N151" s="18" t="s">
        <v>672</v>
      </c>
      <c r="O151" s="18" t="s">
        <v>673</v>
      </c>
      <c r="P151" s="18" t="s">
        <v>674</v>
      </c>
      <c r="Q151" s="18"/>
      <c r="R151" s="18" t="s">
        <v>675</v>
      </c>
      <c r="S151" s="18" t="s">
        <v>676</v>
      </c>
      <c r="T151" s="18" t="s">
        <v>1741</v>
      </c>
      <c r="U151" s="21" t="s">
        <v>43</v>
      </c>
      <c r="V151" s="21"/>
      <c r="W151" s="21"/>
      <c r="X151" s="21"/>
      <c r="Y151" s="21"/>
      <c r="Z151" s="202" t="s">
        <v>1742</v>
      </c>
      <c r="AA151" s="186"/>
      <c r="AB151" s="186"/>
      <c r="AC151" s="186"/>
      <c r="AD151" s="186"/>
      <c r="AE151" s="188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</row>
    <row r="152" spans="1:54" ht="21" customHeight="1" x14ac:dyDescent="0.3">
      <c r="A152" s="1">
        <v>146</v>
      </c>
      <c r="B152" s="211" t="str">
        <f>"H12
("&amp;COUNTA(E152:E160)&amp;")"</f>
        <v>H12
(9)</v>
      </c>
      <c r="C152" s="206" t="s">
        <v>1743</v>
      </c>
      <c r="D152" s="16"/>
      <c r="E152" s="18" t="s">
        <v>1744</v>
      </c>
      <c r="F152" s="18" t="s">
        <v>1745</v>
      </c>
      <c r="G152" s="18" t="s">
        <v>1746</v>
      </c>
      <c r="H152" s="18" t="s">
        <v>1747</v>
      </c>
      <c r="I152" s="19" t="s">
        <v>1431</v>
      </c>
      <c r="J152" s="20" t="s">
        <v>1432</v>
      </c>
      <c r="K152" s="18" t="s">
        <v>51</v>
      </c>
      <c r="L152" s="18">
        <v>12</v>
      </c>
      <c r="M152" s="20" t="s">
        <v>1748</v>
      </c>
      <c r="N152" s="18" t="s">
        <v>1434</v>
      </c>
      <c r="O152" s="18" t="s">
        <v>1435</v>
      </c>
      <c r="P152" s="18" t="s">
        <v>1436</v>
      </c>
      <c r="Q152" s="18"/>
      <c r="R152" s="18" t="s">
        <v>1437</v>
      </c>
      <c r="S152" s="18" t="s">
        <v>1438</v>
      </c>
      <c r="T152" s="18" t="s">
        <v>415</v>
      </c>
      <c r="U152" s="21" t="s">
        <v>1440</v>
      </c>
      <c r="V152" s="18"/>
      <c r="W152" s="18"/>
      <c r="X152" s="18"/>
      <c r="Y152" s="18"/>
      <c r="Z152" s="202" t="s">
        <v>1749</v>
      </c>
      <c r="AA152" s="186"/>
      <c r="AB152" s="186"/>
      <c r="AC152" s="186"/>
      <c r="AD152" s="186"/>
      <c r="AE152" s="188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</row>
    <row r="153" spans="1:54" ht="21" customHeight="1" x14ac:dyDescent="0.3">
      <c r="A153" s="1">
        <v>147</v>
      </c>
      <c r="B153" s="204"/>
      <c r="C153" s="204"/>
      <c r="D153" s="16"/>
      <c r="E153" s="18" t="s">
        <v>1750</v>
      </c>
      <c r="F153" s="18" t="s">
        <v>1751</v>
      </c>
      <c r="G153" s="18" t="s">
        <v>1752</v>
      </c>
      <c r="H153" s="18" t="s">
        <v>1753</v>
      </c>
      <c r="I153" s="19" t="s">
        <v>182</v>
      </c>
      <c r="J153" s="20" t="s">
        <v>1754</v>
      </c>
      <c r="K153" s="18" t="s">
        <v>34</v>
      </c>
      <c r="L153" s="18">
        <v>12</v>
      </c>
      <c r="M153" s="20" t="s">
        <v>1755</v>
      </c>
      <c r="N153" s="18" t="s">
        <v>1756</v>
      </c>
      <c r="O153" s="18" t="s">
        <v>1757</v>
      </c>
      <c r="P153" s="18" t="s">
        <v>1758</v>
      </c>
      <c r="Q153" s="18"/>
      <c r="R153" s="18" t="s">
        <v>1759</v>
      </c>
      <c r="S153" s="18" t="s">
        <v>1760</v>
      </c>
      <c r="T153" s="18" t="s">
        <v>1761</v>
      </c>
      <c r="U153" s="21" t="s">
        <v>369</v>
      </c>
      <c r="V153" s="18"/>
      <c r="W153" s="18"/>
      <c r="X153" s="18"/>
      <c r="Y153" s="18"/>
      <c r="Z153" s="202" t="s">
        <v>1762</v>
      </c>
      <c r="AA153" s="186"/>
      <c r="AB153" s="186"/>
      <c r="AC153" s="186"/>
      <c r="AD153" s="186"/>
      <c r="AE153" s="188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</row>
    <row r="154" spans="1:54" ht="21" customHeight="1" x14ac:dyDescent="0.3">
      <c r="A154" s="1">
        <v>148</v>
      </c>
      <c r="B154" s="204"/>
      <c r="C154" s="204"/>
      <c r="D154" s="49" t="s">
        <v>1553</v>
      </c>
      <c r="E154" s="20" t="s">
        <v>1763</v>
      </c>
      <c r="F154" s="18" t="s">
        <v>1764</v>
      </c>
      <c r="G154" s="18" t="s">
        <v>62</v>
      </c>
      <c r="H154" s="18" t="s">
        <v>1765</v>
      </c>
      <c r="I154" s="19" t="s">
        <v>1766</v>
      </c>
      <c r="J154" s="20" t="s">
        <v>1767</v>
      </c>
      <c r="K154" s="18" t="s">
        <v>34</v>
      </c>
      <c r="L154" s="18">
        <v>12</v>
      </c>
      <c r="M154" s="20" t="s">
        <v>1768</v>
      </c>
      <c r="N154" s="18" t="s">
        <v>1769</v>
      </c>
      <c r="O154" s="18" t="s">
        <v>1770</v>
      </c>
      <c r="P154" s="18" t="s">
        <v>1771</v>
      </c>
      <c r="Q154" s="18"/>
      <c r="R154" s="18" t="s">
        <v>1772</v>
      </c>
      <c r="S154" s="18" t="s">
        <v>1773</v>
      </c>
      <c r="T154" s="18" t="s">
        <v>1774</v>
      </c>
      <c r="U154" s="21" t="s">
        <v>1775</v>
      </c>
      <c r="V154" s="18"/>
      <c r="W154" s="18" t="s">
        <v>399</v>
      </c>
      <c r="X154" s="18"/>
      <c r="Y154" s="18"/>
      <c r="Z154" s="202" t="s">
        <v>401</v>
      </c>
      <c r="AA154" s="186"/>
      <c r="AB154" s="186"/>
      <c r="AC154" s="186"/>
      <c r="AD154" s="186"/>
      <c r="AE154" s="188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</row>
    <row r="155" spans="1:54" ht="21" customHeight="1" x14ac:dyDescent="0.3">
      <c r="A155" s="1">
        <v>149</v>
      </c>
      <c r="B155" s="204"/>
      <c r="C155" s="204"/>
      <c r="D155" s="16"/>
      <c r="E155" s="20" t="s">
        <v>1776</v>
      </c>
      <c r="F155" s="18" t="s">
        <v>1777</v>
      </c>
      <c r="G155" s="18" t="s">
        <v>168</v>
      </c>
      <c r="H155" s="18" t="s">
        <v>1778</v>
      </c>
      <c r="I155" s="19" t="s">
        <v>838</v>
      </c>
      <c r="J155" s="20" t="s">
        <v>1779</v>
      </c>
      <c r="K155" s="18" t="s">
        <v>34</v>
      </c>
      <c r="L155" s="18">
        <v>12</v>
      </c>
      <c r="M155" s="20" t="s">
        <v>1780</v>
      </c>
      <c r="N155" s="18" t="s">
        <v>1781</v>
      </c>
      <c r="O155" s="18" t="s">
        <v>1782</v>
      </c>
      <c r="P155" s="18" t="s">
        <v>1783</v>
      </c>
      <c r="Q155" s="18"/>
      <c r="R155" s="18" t="s">
        <v>1784</v>
      </c>
      <c r="S155" s="18" t="s">
        <v>1785</v>
      </c>
      <c r="T155" s="18" t="s">
        <v>1786</v>
      </c>
      <c r="U155" s="21" t="s">
        <v>892</v>
      </c>
      <c r="V155" s="18"/>
      <c r="W155" s="18"/>
      <c r="X155" s="18"/>
      <c r="Y155" s="18"/>
      <c r="Z155" s="202" t="s">
        <v>1787</v>
      </c>
      <c r="AA155" s="186"/>
      <c r="AB155" s="186"/>
      <c r="AC155" s="186"/>
      <c r="AD155" s="186"/>
      <c r="AE155" s="188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</row>
    <row r="156" spans="1:54" ht="21" customHeight="1" x14ac:dyDescent="0.3">
      <c r="A156" s="1">
        <v>150</v>
      </c>
      <c r="B156" s="204"/>
      <c r="C156" s="204"/>
      <c r="D156" s="16"/>
      <c r="E156" s="17" t="s">
        <v>1788</v>
      </c>
      <c r="F156" s="18" t="s">
        <v>1789</v>
      </c>
      <c r="G156" s="18" t="s">
        <v>1790</v>
      </c>
      <c r="H156" s="18" t="s">
        <v>1791</v>
      </c>
      <c r="I156" s="19" t="s">
        <v>430</v>
      </c>
      <c r="J156" s="20" t="s">
        <v>1792</v>
      </c>
      <c r="K156" s="18" t="s">
        <v>34</v>
      </c>
      <c r="L156" s="18">
        <v>12</v>
      </c>
      <c r="M156" s="20" t="s">
        <v>1793</v>
      </c>
      <c r="N156" s="18" t="s">
        <v>1794</v>
      </c>
      <c r="O156" s="18" t="s">
        <v>1795</v>
      </c>
      <c r="P156" s="18" t="s">
        <v>1796</v>
      </c>
      <c r="Q156" s="18"/>
      <c r="R156" s="18" t="s">
        <v>1797</v>
      </c>
      <c r="S156" s="18" t="s">
        <v>1798</v>
      </c>
      <c r="T156" s="18" t="s">
        <v>1799</v>
      </c>
      <c r="U156" s="21" t="s">
        <v>1341</v>
      </c>
      <c r="V156" s="18"/>
      <c r="W156" s="18"/>
      <c r="X156" s="18"/>
      <c r="Y156" s="18"/>
      <c r="Z156" s="202" t="s">
        <v>1800</v>
      </c>
      <c r="AA156" s="186"/>
      <c r="AB156" s="186"/>
      <c r="AC156" s="186"/>
      <c r="AD156" s="186"/>
      <c r="AE156" s="188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</row>
    <row r="157" spans="1:54" ht="21" customHeight="1" x14ac:dyDescent="0.3">
      <c r="A157" s="1">
        <v>151</v>
      </c>
      <c r="B157" s="204"/>
      <c r="C157" s="204"/>
      <c r="D157" s="16"/>
      <c r="E157" s="17" t="s">
        <v>1801</v>
      </c>
      <c r="F157" s="18" t="s">
        <v>1802</v>
      </c>
      <c r="G157" s="18" t="s">
        <v>1803</v>
      </c>
      <c r="H157" s="18" t="s">
        <v>1804</v>
      </c>
      <c r="I157" s="19" t="s">
        <v>1190</v>
      </c>
      <c r="J157" s="20" t="s">
        <v>1805</v>
      </c>
      <c r="K157" s="18" t="s">
        <v>34</v>
      </c>
      <c r="L157" s="18">
        <v>12</v>
      </c>
      <c r="M157" s="20" t="s">
        <v>1806</v>
      </c>
      <c r="N157" s="18" t="s">
        <v>1807</v>
      </c>
      <c r="O157" s="18" t="s">
        <v>1808</v>
      </c>
      <c r="P157" s="18" t="s">
        <v>1809</v>
      </c>
      <c r="Q157" s="18"/>
      <c r="R157" s="18" t="s">
        <v>1810</v>
      </c>
      <c r="S157" s="18" t="s">
        <v>1811</v>
      </c>
      <c r="T157" s="18"/>
      <c r="U157" s="21" t="s">
        <v>1341</v>
      </c>
      <c r="V157" s="18"/>
      <c r="W157" s="18"/>
      <c r="X157" s="18"/>
      <c r="Y157" s="18"/>
      <c r="Z157" s="202" t="s">
        <v>1111</v>
      </c>
      <c r="AA157" s="186"/>
      <c r="AB157" s="186"/>
      <c r="AC157" s="186"/>
      <c r="AD157" s="186"/>
      <c r="AE157" s="188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</row>
    <row r="158" spans="1:54" ht="19.5" customHeight="1" x14ac:dyDescent="0.3">
      <c r="A158" s="1">
        <v>152</v>
      </c>
      <c r="B158" s="204"/>
      <c r="C158" s="204"/>
      <c r="D158" s="16"/>
      <c r="E158" s="18" t="s">
        <v>1812</v>
      </c>
      <c r="F158" s="18" t="s">
        <v>1813</v>
      </c>
      <c r="G158" s="18" t="s">
        <v>1814</v>
      </c>
      <c r="H158" s="18" t="s">
        <v>1815</v>
      </c>
      <c r="I158" s="19" t="s">
        <v>1766</v>
      </c>
      <c r="J158" s="55" t="s">
        <v>1816</v>
      </c>
      <c r="K158" s="18" t="s">
        <v>51</v>
      </c>
      <c r="L158" s="18">
        <v>12</v>
      </c>
      <c r="M158" s="20" t="s">
        <v>1817</v>
      </c>
      <c r="N158" s="18" t="s">
        <v>415</v>
      </c>
      <c r="O158" s="18" t="s">
        <v>1818</v>
      </c>
      <c r="P158" s="18" t="s">
        <v>1819</v>
      </c>
      <c r="Q158" s="18"/>
      <c r="R158" s="18" t="s">
        <v>1820</v>
      </c>
      <c r="S158" s="18" t="s">
        <v>1821</v>
      </c>
      <c r="T158" s="22" t="s">
        <v>1822</v>
      </c>
      <c r="U158" s="39" t="s">
        <v>416</v>
      </c>
      <c r="V158" s="18"/>
      <c r="W158" s="18"/>
      <c r="X158" s="18"/>
      <c r="Y158" s="18"/>
      <c r="Z158" s="202" t="s">
        <v>1823</v>
      </c>
      <c r="AA158" s="186"/>
      <c r="AB158" s="186"/>
      <c r="AC158" s="186"/>
      <c r="AD158" s="186"/>
      <c r="AE158" s="188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</row>
    <row r="159" spans="1:54" ht="19.5" customHeight="1" x14ac:dyDescent="0.3">
      <c r="A159" s="1">
        <v>153</v>
      </c>
      <c r="B159" s="204"/>
      <c r="C159" s="204"/>
      <c r="D159" s="16"/>
      <c r="E159" s="20" t="s">
        <v>1824</v>
      </c>
      <c r="F159" s="18" t="s">
        <v>1825</v>
      </c>
      <c r="G159" s="18" t="s">
        <v>388</v>
      </c>
      <c r="H159" s="18" t="s">
        <v>1826</v>
      </c>
      <c r="I159" s="19" t="s">
        <v>64</v>
      </c>
      <c r="J159" s="20" t="s">
        <v>1067</v>
      </c>
      <c r="K159" s="18" t="s">
        <v>34</v>
      </c>
      <c r="L159" s="18">
        <v>12</v>
      </c>
      <c r="M159" s="20" t="s">
        <v>1827</v>
      </c>
      <c r="N159" s="18" t="s">
        <v>1069</v>
      </c>
      <c r="O159" s="18" t="s">
        <v>1070</v>
      </c>
      <c r="P159" s="18" t="s">
        <v>1071</v>
      </c>
      <c r="Q159" s="18"/>
      <c r="R159" s="18" t="s">
        <v>1072</v>
      </c>
      <c r="S159" s="18" t="s">
        <v>1073</v>
      </c>
      <c r="T159" s="18" t="s">
        <v>1828</v>
      </c>
      <c r="U159" s="21" t="s">
        <v>1775</v>
      </c>
      <c r="V159" s="18"/>
      <c r="W159" s="18" t="s">
        <v>399</v>
      </c>
      <c r="X159" s="18"/>
      <c r="Y159" s="18"/>
      <c r="Z159" s="202" t="s">
        <v>401</v>
      </c>
      <c r="AA159" s="186"/>
      <c r="AB159" s="186"/>
      <c r="AC159" s="186"/>
      <c r="AD159" s="186"/>
      <c r="AE159" s="188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</row>
    <row r="160" spans="1:54" ht="21" customHeight="1" x14ac:dyDescent="0.3">
      <c r="A160" s="1">
        <v>154</v>
      </c>
      <c r="B160" s="205"/>
      <c r="C160" s="205"/>
      <c r="D160" s="16"/>
      <c r="E160" s="24" t="s">
        <v>1829</v>
      </c>
      <c r="F160" s="18" t="s">
        <v>1830</v>
      </c>
      <c r="G160" s="18" t="s">
        <v>1831</v>
      </c>
      <c r="H160" s="18" t="s">
        <v>1832</v>
      </c>
      <c r="I160" s="19" t="s">
        <v>1833</v>
      </c>
      <c r="J160" s="18" t="s">
        <v>1834</v>
      </c>
      <c r="K160" s="18" t="s">
        <v>51</v>
      </c>
      <c r="L160" s="18">
        <v>12</v>
      </c>
      <c r="M160" s="18" t="s">
        <v>1835</v>
      </c>
      <c r="N160" s="18" t="s">
        <v>1494</v>
      </c>
      <c r="O160" s="18" t="s">
        <v>1495</v>
      </c>
      <c r="P160" s="18" t="s">
        <v>1836</v>
      </c>
      <c r="Q160" s="56"/>
      <c r="R160" s="18" t="s">
        <v>1497</v>
      </c>
      <c r="S160" s="18" t="s">
        <v>1498</v>
      </c>
      <c r="T160" s="56"/>
      <c r="U160" s="21" t="s">
        <v>1837</v>
      </c>
      <c r="V160" s="56"/>
      <c r="W160" s="56"/>
      <c r="X160" s="56"/>
      <c r="Y160" s="56"/>
      <c r="Z160" s="202" t="s">
        <v>1838</v>
      </c>
      <c r="AA160" s="186"/>
      <c r="AB160" s="186"/>
      <c r="AC160" s="186"/>
      <c r="AD160" s="186"/>
      <c r="AE160" s="188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</row>
    <row r="161" spans="1:54" ht="33.75" customHeight="1" x14ac:dyDescent="0.3">
      <c r="A161" s="1"/>
      <c r="B161" s="212" t="s">
        <v>1839</v>
      </c>
      <c r="C161" s="186"/>
      <c r="D161" s="186"/>
      <c r="E161" s="188"/>
      <c r="F161" s="212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8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</row>
    <row r="162" spans="1:54" ht="21.75" customHeight="1" x14ac:dyDescent="0.3">
      <c r="A162" s="57"/>
      <c r="B162" s="58"/>
      <c r="C162" s="59"/>
      <c r="D162" s="60"/>
      <c r="E162" s="60"/>
      <c r="F162" s="60"/>
      <c r="G162" s="60"/>
      <c r="H162" s="60"/>
      <c r="I162" s="61"/>
      <c r="J162" s="62" t="s">
        <v>1840</v>
      </c>
      <c r="K162" s="60"/>
      <c r="L162" s="60"/>
      <c r="M162" s="60"/>
      <c r="N162" s="60"/>
      <c r="O162" s="60"/>
      <c r="P162" s="63"/>
      <c r="Q162" s="60"/>
      <c r="R162" s="64"/>
      <c r="S162" s="64"/>
      <c r="T162" s="64"/>
      <c r="U162" s="64"/>
      <c r="V162" s="64"/>
      <c r="W162" s="64"/>
      <c r="X162" s="64"/>
      <c r="Y162" s="64"/>
      <c r="Z162" s="65"/>
      <c r="AA162" s="66"/>
      <c r="AB162" s="66"/>
      <c r="AC162" s="66"/>
      <c r="AD162" s="66"/>
      <c r="AE162" s="58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</row>
    <row r="163" spans="1:54" ht="13.8" x14ac:dyDescent="0.3">
      <c r="A163" s="213" t="s">
        <v>1841</v>
      </c>
      <c r="B163" s="214" t="s">
        <v>1842</v>
      </c>
      <c r="C163" s="217" t="s">
        <v>1843</v>
      </c>
      <c r="D163" s="216" t="s">
        <v>1844</v>
      </c>
      <c r="E163" s="216" t="s">
        <v>6</v>
      </c>
      <c r="F163" s="216" t="s">
        <v>1845</v>
      </c>
      <c r="G163" s="216" t="s">
        <v>8</v>
      </c>
      <c r="H163" s="216" t="s">
        <v>1846</v>
      </c>
      <c r="I163" s="221" t="s">
        <v>10</v>
      </c>
      <c r="J163" s="216" t="s">
        <v>11</v>
      </c>
      <c r="K163" s="216" t="s">
        <v>12</v>
      </c>
      <c r="L163" s="216" t="s">
        <v>3</v>
      </c>
      <c r="M163" s="216" t="s">
        <v>13</v>
      </c>
      <c r="N163" s="216" t="s">
        <v>14</v>
      </c>
      <c r="O163" s="216" t="s">
        <v>15</v>
      </c>
      <c r="P163" s="222" t="s">
        <v>16</v>
      </c>
      <c r="Q163" s="216" t="s">
        <v>17</v>
      </c>
      <c r="R163" s="187" t="s">
        <v>18</v>
      </c>
      <c r="S163" s="186"/>
      <c r="T163" s="188"/>
      <c r="U163" s="187" t="s">
        <v>19</v>
      </c>
      <c r="V163" s="188"/>
      <c r="W163" s="68"/>
      <c r="X163" s="68"/>
      <c r="Y163" s="68"/>
      <c r="Z163" s="189" t="s">
        <v>20</v>
      </c>
      <c r="AA163" s="190"/>
      <c r="AB163" s="190"/>
      <c r="AC163" s="190"/>
      <c r="AD163" s="190"/>
      <c r="AE163" s="191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</row>
    <row r="164" spans="1:54" ht="26.4" x14ac:dyDescent="0.3">
      <c r="A164" s="205"/>
      <c r="B164" s="215"/>
      <c r="C164" s="21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68" t="s">
        <v>14</v>
      </c>
      <c r="S164" s="68" t="s">
        <v>15</v>
      </c>
      <c r="T164" s="68" t="s">
        <v>21</v>
      </c>
      <c r="U164" s="68" t="s">
        <v>1847</v>
      </c>
      <c r="V164" s="68" t="s">
        <v>1848</v>
      </c>
      <c r="W164" s="68"/>
      <c r="X164" s="68"/>
      <c r="Y164" s="68"/>
      <c r="Z164" s="192"/>
      <c r="AA164" s="193"/>
      <c r="AB164" s="193"/>
      <c r="AC164" s="193"/>
      <c r="AD164" s="193"/>
      <c r="AE164" s="194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</row>
    <row r="165" spans="1:54" ht="21.75" hidden="1" customHeight="1" x14ac:dyDescent="0.3">
      <c r="A165" s="17">
        <v>1</v>
      </c>
      <c r="B165" s="17" t="s">
        <v>1849</v>
      </c>
      <c r="C165" s="17" t="s">
        <v>1850</v>
      </c>
      <c r="D165" s="70" t="s">
        <v>1851</v>
      </c>
      <c r="E165" s="17" t="s">
        <v>1254</v>
      </c>
      <c r="F165" s="17" t="s">
        <v>1255</v>
      </c>
      <c r="G165" s="17" t="s">
        <v>1852</v>
      </c>
      <c r="H165" s="17" t="s">
        <v>1257</v>
      </c>
      <c r="I165" s="26" t="s">
        <v>130</v>
      </c>
      <c r="J165" s="17" t="s">
        <v>1853</v>
      </c>
      <c r="K165" s="17" t="s">
        <v>34</v>
      </c>
      <c r="L165" s="17">
        <v>5</v>
      </c>
      <c r="M165" s="17" t="s">
        <v>1259</v>
      </c>
      <c r="N165" s="17" t="s">
        <v>1260</v>
      </c>
      <c r="O165" s="17" t="s">
        <v>1261</v>
      </c>
      <c r="P165" s="17" t="s">
        <v>1262</v>
      </c>
      <c r="Q165" s="17"/>
      <c r="R165" s="17" t="s">
        <v>1263</v>
      </c>
      <c r="S165" s="17" t="s">
        <v>1264</v>
      </c>
      <c r="T165" s="17" t="s">
        <v>1265</v>
      </c>
      <c r="U165" s="17" t="s">
        <v>1266</v>
      </c>
      <c r="V165" s="17" t="s">
        <v>1854</v>
      </c>
      <c r="W165" s="17"/>
      <c r="X165" s="17"/>
      <c r="Y165" s="17"/>
      <c r="Z165" s="195" t="s">
        <v>1267</v>
      </c>
      <c r="AA165" s="186"/>
      <c r="AB165" s="186"/>
      <c r="AC165" s="186"/>
      <c r="AD165" s="186"/>
      <c r="AE165" s="188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</row>
    <row r="166" spans="1:54" ht="21.75" hidden="1" customHeight="1" x14ac:dyDescent="0.3">
      <c r="A166" s="17">
        <v>2</v>
      </c>
      <c r="B166" s="17" t="s">
        <v>1855</v>
      </c>
      <c r="C166" s="17" t="s">
        <v>1856</v>
      </c>
      <c r="D166" s="70" t="s">
        <v>1851</v>
      </c>
      <c r="E166" s="17" t="s">
        <v>1857</v>
      </c>
      <c r="F166" s="17" t="s">
        <v>1858</v>
      </c>
      <c r="G166" s="17" t="s">
        <v>1859</v>
      </c>
      <c r="H166" s="17" t="s">
        <v>1860</v>
      </c>
      <c r="I166" s="26" t="s">
        <v>1861</v>
      </c>
      <c r="J166" s="17" t="s">
        <v>1862</v>
      </c>
      <c r="K166" s="17" t="s">
        <v>34</v>
      </c>
      <c r="L166" s="17">
        <v>4</v>
      </c>
      <c r="M166" s="17" t="s">
        <v>1863</v>
      </c>
      <c r="N166" s="17" t="s">
        <v>1864</v>
      </c>
      <c r="O166" s="17" t="s">
        <v>1865</v>
      </c>
      <c r="P166" s="17" t="s">
        <v>1866</v>
      </c>
      <c r="Q166" s="17" t="s">
        <v>1867</v>
      </c>
      <c r="R166" s="17" t="s">
        <v>1868</v>
      </c>
      <c r="S166" s="17" t="s">
        <v>1869</v>
      </c>
      <c r="T166" s="17" t="s">
        <v>1870</v>
      </c>
      <c r="U166" s="17" t="s">
        <v>1266</v>
      </c>
      <c r="V166" s="17" t="s">
        <v>1854</v>
      </c>
      <c r="W166" s="17"/>
      <c r="X166" s="17"/>
      <c r="Y166" s="17"/>
      <c r="Z166" s="195" t="s">
        <v>1871</v>
      </c>
      <c r="AA166" s="186"/>
      <c r="AB166" s="186"/>
      <c r="AC166" s="186"/>
      <c r="AD166" s="186"/>
      <c r="AE166" s="188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</row>
    <row r="167" spans="1:54" ht="21.75" hidden="1" customHeight="1" x14ac:dyDescent="0.3">
      <c r="A167" s="17">
        <v>3</v>
      </c>
      <c r="B167" s="17" t="s">
        <v>1855</v>
      </c>
      <c r="C167" s="17" t="s">
        <v>1856</v>
      </c>
      <c r="D167" s="17" t="s">
        <v>1851</v>
      </c>
      <c r="E167" s="17" t="s">
        <v>1872</v>
      </c>
      <c r="F167" s="17" t="s">
        <v>1873</v>
      </c>
      <c r="G167" s="17" t="s">
        <v>734</v>
      </c>
      <c r="H167" s="17" t="s">
        <v>1874</v>
      </c>
      <c r="I167" s="26" t="s">
        <v>1861</v>
      </c>
      <c r="J167" s="17" t="s">
        <v>1862</v>
      </c>
      <c r="K167" s="17" t="s">
        <v>34</v>
      </c>
      <c r="L167" s="17">
        <v>2</v>
      </c>
      <c r="M167" s="17" t="s">
        <v>1875</v>
      </c>
      <c r="N167" s="17" t="s">
        <v>1864</v>
      </c>
      <c r="O167" s="17" t="s">
        <v>1865</v>
      </c>
      <c r="P167" s="17" t="s">
        <v>1866</v>
      </c>
      <c r="Q167" s="17" t="s">
        <v>1867</v>
      </c>
      <c r="R167" s="17" t="s">
        <v>1868</v>
      </c>
      <c r="S167" s="17" t="s">
        <v>1869</v>
      </c>
      <c r="T167" s="17" t="s">
        <v>1876</v>
      </c>
      <c r="U167" s="17" t="s">
        <v>1266</v>
      </c>
      <c r="V167" s="17" t="s">
        <v>1854</v>
      </c>
      <c r="W167" s="17"/>
      <c r="X167" s="17"/>
      <c r="Y167" s="17"/>
      <c r="Z167" s="195" t="s">
        <v>1871</v>
      </c>
      <c r="AA167" s="186"/>
      <c r="AB167" s="186"/>
      <c r="AC167" s="186"/>
      <c r="AD167" s="186"/>
      <c r="AE167" s="188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</row>
    <row r="168" spans="1:54" ht="21.75" hidden="1" customHeight="1" x14ac:dyDescent="0.3">
      <c r="A168" s="17">
        <v>4</v>
      </c>
      <c r="B168" s="70" t="s">
        <v>1855</v>
      </c>
      <c r="C168" s="17" t="s">
        <v>1856</v>
      </c>
      <c r="D168" s="17" t="s">
        <v>1851</v>
      </c>
      <c r="E168" s="17" t="s">
        <v>1877</v>
      </c>
      <c r="F168" s="17" t="s">
        <v>1878</v>
      </c>
      <c r="G168" s="17" t="s">
        <v>1879</v>
      </c>
      <c r="H168" s="17" t="s">
        <v>1880</v>
      </c>
      <c r="I168" s="26" t="s">
        <v>1881</v>
      </c>
      <c r="J168" s="17" t="s">
        <v>1882</v>
      </c>
      <c r="K168" s="17" t="s">
        <v>51</v>
      </c>
      <c r="L168" s="17">
        <v>7</v>
      </c>
      <c r="M168" s="17" t="s">
        <v>1883</v>
      </c>
      <c r="N168" s="17" t="s">
        <v>1884</v>
      </c>
      <c r="O168" s="17" t="s">
        <v>1885</v>
      </c>
      <c r="P168" s="17" t="s">
        <v>1886</v>
      </c>
      <c r="Q168" s="17"/>
      <c r="R168" s="17" t="s">
        <v>1887</v>
      </c>
      <c r="S168" s="17" t="s">
        <v>1888</v>
      </c>
      <c r="T168" s="17" t="s">
        <v>415</v>
      </c>
      <c r="U168" s="17" t="s">
        <v>1266</v>
      </c>
      <c r="V168" s="17" t="s">
        <v>1854</v>
      </c>
      <c r="W168" s="17"/>
      <c r="X168" s="17"/>
      <c r="Y168" s="17"/>
      <c r="Z168" s="195" t="s">
        <v>1889</v>
      </c>
      <c r="AA168" s="186"/>
      <c r="AB168" s="186"/>
      <c r="AC168" s="186"/>
      <c r="AD168" s="186"/>
      <c r="AE168" s="188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</row>
    <row r="169" spans="1:54" ht="21.75" hidden="1" customHeight="1" x14ac:dyDescent="0.3">
      <c r="A169" s="17">
        <v>5</v>
      </c>
      <c r="B169" s="17" t="s">
        <v>1890</v>
      </c>
      <c r="C169" s="17" t="s">
        <v>1856</v>
      </c>
      <c r="D169" s="17" t="s">
        <v>1851</v>
      </c>
      <c r="E169" s="17" t="s">
        <v>1891</v>
      </c>
      <c r="F169" s="17" t="s">
        <v>1892</v>
      </c>
      <c r="G169" s="17" t="s">
        <v>1893</v>
      </c>
      <c r="H169" s="17" t="s">
        <v>1894</v>
      </c>
      <c r="I169" s="26" t="s">
        <v>1895</v>
      </c>
      <c r="J169" s="72" t="s">
        <v>1896</v>
      </c>
      <c r="K169" s="17" t="s">
        <v>51</v>
      </c>
      <c r="L169" s="17">
        <v>10</v>
      </c>
      <c r="M169" s="17" t="s">
        <v>1897</v>
      </c>
      <c r="N169" s="17" t="s">
        <v>1898</v>
      </c>
      <c r="O169" s="17" t="s">
        <v>1899</v>
      </c>
      <c r="P169" s="73" t="s">
        <v>1900</v>
      </c>
      <c r="Q169" s="17"/>
      <c r="R169" s="17" t="s">
        <v>1901</v>
      </c>
      <c r="S169" s="17" t="s">
        <v>1902</v>
      </c>
      <c r="T169" s="17" t="s">
        <v>1903</v>
      </c>
      <c r="U169" s="17" t="s">
        <v>1266</v>
      </c>
      <c r="V169" s="17" t="s">
        <v>1854</v>
      </c>
      <c r="W169" s="17"/>
      <c r="X169" s="17"/>
      <c r="Y169" s="17"/>
      <c r="Z169" s="195" t="s">
        <v>1889</v>
      </c>
      <c r="AA169" s="186"/>
      <c r="AB169" s="186"/>
      <c r="AC169" s="186"/>
      <c r="AD169" s="186"/>
      <c r="AE169" s="188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</row>
    <row r="170" spans="1:54" ht="21.75" hidden="1" customHeight="1" x14ac:dyDescent="0.3">
      <c r="A170" s="17">
        <v>6</v>
      </c>
      <c r="B170" s="17" t="s">
        <v>1890</v>
      </c>
      <c r="C170" s="17" t="s">
        <v>1856</v>
      </c>
      <c r="D170" s="17" t="s">
        <v>1851</v>
      </c>
      <c r="E170" s="17" t="s">
        <v>1904</v>
      </c>
      <c r="F170" s="17" t="s">
        <v>1905</v>
      </c>
      <c r="G170" s="17" t="s">
        <v>700</v>
      </c>
      <c r="H170" s="17" t="s">
        <v>1906</v>
      </c>
      <c r="I170" s="26" t="s">
        <v>1907</v>
      </c>
      <c r="J170" s="17" t="s">
        <v>1908</v>
      </c>
      <c r="K170" s="17" t="s">
        <v>34</v>
      </c>
      <c r="L170" s="17">
        <v>4</v>
      </c>
      <c r="M170" s="17" t="s">
        <v>1909</v>
      </c>
      <c r="N170" s="17" t="s">
        <v>1910</v>
      </c>
      <c r="O170" s="17" t="s">
        <v>1911</v>
      </c>
      <c r="P170" s="17" t="s">
        <v>1912</v>
      </c>
      <c r="Q170" s="17" t="s">
        <v>1913</v>
      </c>
      <c r="R170" s="17" t="s">
        <v>1914</v>
      </c>
      <c r="S170" s="17" t="s">
        <v>1915</v>
      </c>
      <c r="T170" s="17" t="s">
        <v>415</v>
      </c>
      <c r="U170" s="17" t="s">
        <v>1266</v>
      </c>
      <c r="V170" s="17" t="s">
        <v>1854</v>
      </c>
      <c r="W170" s="17"/>
      <c r="X170" s="17"/>
      <c r="Y170" s="17"/>
      <c r="Z170" s="195" t="s">
        <v>1916</v>
      </c>
      <c r="AA170" s="186"/>
      <c r="AB170" s="186"/>
      <c r="AC170" s="186"/>
      <c r="AD170" s="186"/>
      <c r="AE170" s="188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</row>
    <row r="171" spans="1:54" ht="21.75" hidden="1" customHeight="1" x14ac:dyDescent="0.3">
      <c r="A171" s="17">
        <v>7</v>
      </c>
      <c r="B171" s="17" t="s">
        <v>1890</v>
      </c>
      <c r="C171" s="17" t="s">
        <v>1856</v>
      </c>
      <c r="D171" s="17" t="s">
        <v>1851</v>
      </c>
      <c r="E171" s="17" t="s">
        <v>1917</v>
      </c>
      <c r="F171" s="17" t="s">
        <v>1918</v>
      </c>
      <c r="G171" s="17" t="s">
        <v>1919</v>
      </c>
      <c r="H171" s="17" t="s">
        <v>1920</v>
      </c>
      <c r="I171" s="26" t="s">
        <v>1907</v>
      </c>
      <c r="J171" s="17" t="s">
        <v>1908</v>
      </c>
      <c r="K171" s="17" t="s">
        <v>51</v>
      </c>
      <c r="L171" s="17">
        <v>6</v>
      </c>
      <c r="M171" s="17" t="s">
        <v>1921</v>
      </c>
      <c r="N171" s="17" t="s">
        <v>1910</v>
      </c>
      <c r="O171" s="17" t="s">
        <v>1911</v>
      </c>
      <c r="P171" s="17" t="s">
        <v>1912</v>
      </c>
      <c r="Q171" s="17" t="s">
        <v>1913</v>
      </c>
      <c r="R171" s="17" t="s">
        <v>1914</v>
      </c>
      <c r="S171" s="17" t="s">
        <v>1915</v>
      </c>
      <c r="T171" s="17" t="s">
        <v>415</v>
      </c>
      <c r="U171" s="17" t="s">
        <v>1266</v>
      </c>
      <c r="V171" s="17" t="s">
        <v>1854</v>
      </c>
      <c r="W171" s="17"/>
      <c r="X171" s="17"/>
      <c r="Y171" s="17"/>
      <c r="Z171" s="195" t="s">
        <v>1916</v>
      </c>
      <c r="AA171" s="186"/>
      <c r="AB171" s="186"/>
      <c r="AC171" s="186"/>
      <c r="AD171" s="186"/>
      <c r="AE171" s="188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</row>
    <row r="172" spans="1:54" ht="26.25" hidden="1" customHeight="1" x14ac:dyDescent="0.3">
      <c r="A172" s="17">
        <v>8</v>
      </c>
      <c r="B172" s="17" t="s">
        <v>1922</v>
      </c>
      <c r="C172" s="17" t="s">
        <v>1856</v>
      </c>
      <c r="D172" s="17" t="s">
        <v>1851</v>
      </c>
      <c r="E172" s="74" t="s">
        <v>1923</v>
      </c>
      <c r="F172" s="30" t="s">
        <v>1924</v>
      </c>
      <c r="G172" s="30" t="s">
        <v>1925</v>
      </c>
      <c r="H172" s="30" t="s">
        <v>1926</v>
      </c>
      <c r="I172" s="75" t="s">
        <v>1927</v>
      </c>
      <c r="J172" s="30" t="s">
        <v>1928</v>
      </c>
      <c r="K172" s="30" t="s">
        <v>34</v>
      </c>
      <c r="L172" s="30">
        <v>9</v>
      </c>
      <c r="M172" s="30" t="s">
        <v>1929</v>
      </c>
      <c r="N172" s="30" t="s">
        <v>1930</v>
      </c>
      <c r="O172" s="30" t="s">
        <v>1931</v>
      </c>
      <c r="P172" s="76" t="s">
        <v>1932</v>
      </c>
      <c r="Q172" s="30"/>
      <c r="R172" s="30" t="s">
        <v>1933</v>
      </c>
      <c r="S172" s="30" t="s">
        <v>1934</v>
      </c>
      <c r="T172" s="30" t="s">
        <v>415</v>
      </c>
      <c r="U172" s="17" t="s">
        <v>1266</v>
      </c>
      <c r="V172" s="30" t="s">
        <v>1935</v>
      </c>
      <c r="W172" s="30"/>
      <c r="X172" s="30"/>
      <c r="Y172" s="30"/>
      <c r="Z172" s="196" t="s">
        <v>1936</v>
      </c>
      <c r="AA172" s="186"/>
      <c r="AB172" s="186"/>
      <c r="AC172" s="186"/>
      <c r="AD172" s="186"/>
      <c r="AE172" s="188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</row>
    <row r="173" spans="1:54" ht="21.75" hidden="1" customHeight="1" x14ac:dyDescent="0.3">
      <c r="A173" s="17">
        <v>9</v>
      </c>
      <c r="B173" s="17" t="s">
        <v>1937</v>
      </c>
      <c r="C173" s="17" t="s">
        <v>1856</v>
      </c>
      <c r="D173" s="17" t="s">
        <v>1851</v>
      </c>
      <c r="E173" s="17" t="s">
        <v>1938</v>
      </c>
      <c r="F173" s="17" t="s">
        <v>1939</v>
      </c>
      <c r="G173" s="17" t="s">
        <v>1940</v>
      </c>
      <c r="H173" s="17" t="s">
        <v>1941</v>
      </c>
      <c r="I173" s="26" t="s">
        <v>1942</v>
      </c>
      <c r="J173" s="17" t="s">
        <v>1943</v>
      </c>
      <c r="K173" s="30" t="s">
        <v>34</v>
      </c>
      <c r="L173" s="30">
        <v>8</v>
      </c>
      <c r="M173" s="17">
        <v>2007012.1</v>
      </c>
      <c r="N173" s="17" t="s">
        <v>1944</v>
      </c>
      <c r="O173" s="17" t="s">
        <v>1945</v>
      </c>
      <c r="P173" s="17" t="s">
        <v>1946</v>
      </c>
      <c r="Q173" s="17"/>
      <c r="R173" s="17" t="s">
        <v>1947</v>
      </c>
      <c r="S173" s="17" t="s">
        <v>1948</v>
      </c>
      <c r="T173" s="17" t="s">
        <v>415</v>
      </c>
      <c r="U173" s="17" t="s">
        <v>1266</v>
      </c>
      <c r="V173" s="17" t="s">
        <v>1854</v>
      </c>
      <c r="W173" s="17"/>
      <c r="X173" s="17"/>
      <c r="Y173" s="17"/>
      <c r="Z173" s="195" t="s">
        <v>1949</v>
      </c>
      <c r="AA173" s="186"/>
      <c r="AB173" s="186"/>
      <c r="AC173" s="186"/>
      <c r="AD173" s="186"/>
      <c r="AE173" s="188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</row>
    <row r="174" spans="1:54" ht="21.75" hidden="1" customHeight="1" x14ac:dyDescent="0.3">
      <c r="A174" s="17">
        <v>10</v>
      </c>
      <c r="B174" s="17" t="s">
        <v>1950</v>
      </c>
      <c r="C174" s="17" t="s">
        <v>1856</v>
      </c>
      <c r="D174" s="17" t="s">
        <v>1851</v>
      </c>
      <c r="E174" s="17" t="s">
        <v>1951</v>
      </c>
      <c r="F174" s="17" t="s">
        <v>1952</v>
      </c>
      <c r="G174" s="17" t="s">
        <v>204</v>
      </c>
      <c r="H174" s="17" t="s">
        <v>1953</v>
      </c>
      <c r="I174" s="26" t="s">
        <v>1954</v>
      </c>
      <c r="J174" s="78" t="s">
        <v>1955</v>
      </c>
      <c r="K174" s="17" t="s">
        <v>51</v>
      </c>
      <c r="L174" s="17">
        <v>1</v>
      </c>
      <c r="M174" s="17" t="s">
        <v>1956</v>
      </c>
      <c r="N174" s="70" t="s">
        <v>1957</v>
      </c>
      <c r="O174" s="30" t="s">
        <v>1958</v>
      </c>
      <c r="P174" s="76" t="s">
        <v>1959</v>
      </c>
      <c r="Q174" s="30" t="s">
        <v>1960</v>
      </c>
      <c r="R174" s="30" t="s">
        <v>1961</v>
      </c>
      <c r="S174" s="30" t="s">
        <v>1962</v>
      </c>
      <c r="T174" s="30" t="s">
        <v>415</v>
      </c>
      <c r="U174" s="30" t="s">
        <v>1266</v>
      </c>
      <c r="V174" s="17" t="s">
        <v>1854</v>
      </c>
      <c r="W174" s="79"/>
      <c r="X174" s="79"/>
      <c r="Y174" s="30"/>
      <c r="Z174" s="196" t="s">
        <v>1963</v>
      </c>
      <c r="AA174" s="186"/>
      <c r="AB174" s="186"/>
      <c r="AC174" s="186"/>
      <c r="AD174" s="186"/>
      <c r="AE174" s="188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</row>
    <row r="175" spans="1:54" ht="21.75" hidden="1" customHeight="1" x14ac:dyDescent="0.3">
      <c r="A175" s="17">
        <v>11</v>
      </c>
      <c r="B175" s="17" t="s">
        <v>1964</v>
      </c>
      <c r="C175" s="17" t="s">
        <v>1856</v>
      </c>
      <c r="D175" s="17" t="s">
        <v>1965</v>
      </c>
      <c r="E175" s="17" t="s">
        <v>1966</v>
      </c>
      <c r="F175" s="17" t="s">
        <v>1967</v>
      </c>
      <c r="G175" s="17" t="s">
        <v>1968</v>
      </c>
      <c r="H175" s="17" t="s">
        <v>1969</v>
      </c>
      <c r="I175" s="26" t="s">
        <v>1970</v>
      </c>
      <c r="J175" s="17" t="s">
        <v>1971</v>
      </c>
      <c r="K175" s="17" t="s">
        <v>34</v>
      </c>
      <c r="L175" s="17">
        <v>8</v>
      </c>
      <c r="M175" s="17" t="s">
        <v>1972</v>
      </c>
      <c r="N175" s="17" t="s">
        <v>1973</v>
      </c>
      <c r="O175" s="17" t="s">
        <v>1974</v>
      </c>
      <c r="P175" s="17" t="s">
        <v>1975</v>
      </c>
      <c r="Q175" s="17"/>
      <c r="R175" s="17" t="s">
        <v>1976</v>
      </c>
      <c r="S175" s="17" t="s">
        <v>1977</v>
      </c>
      <c r="T175" s="17" t="s">
        <v>1978</v>
      </c>
      <c r="U175" s="30" t="s">
        <v>1266</v>
      </c>
      <c r="V175" s="17" t="s">
        <v>1854</v>
      </c>
      <c r="W175" s="79"/>
      <c r="X175" s="79"/>
      <c r="Y175" s="30"/>
      <c r="Z175" s="196" t="s">
        <v>1979</v>
      </c>
      <c r="AA175" s="186"/>
      <c r="AB175" s="186"/>
      <c r="AC175" s="186"/>
      <c r="AD175" s="186"/>
      <c r="AE175" s="188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</row>
    <row r="176" spans="1:54" ht="21.75" hidden="1" customHeight="1" x14ac:dyDescent="0.3">
      <c r="A176" s="17">
        <v>12</v>
      </c>
      <c r="B176" s="17" t="s">
        <v>1980</v>
      </c>
      <c r="C176" s="17" t="s">
        <v>1856</v>
      </c>
      <c r="D176" s="17" t="s">
        <v>1981</v>
      </c>
      <c r="E176" s="17" t="s">
        <v>1982</v>
      </c>
      <c r="F176" s="17" t="s">
        <v>1983</v>
      </c>
      <c r="G176" s="17" t="s">
        <v>1984</v>
      </c>
      <c r="H176" s="17" t="s">
        <v>1985</v>
      </c>
      <c r="I176" s="26" t="s">
        <v>430</v>
      </c>
      <c r="J176" s="17" t="s">
        <v>1986</v>
      </c>
      <c r="K176" s="17" t="s">
        <v>34</v>
      </c>
      <c r="L176" s="17">
        <v>4</v>
      </c>
      <c r="M176" s="17" t="s">
        <v>1987</v>
      </c>
      <c r="N176" s="17" t="s">
        <v>1988</v>
      </c>
      <c r="O176" s="17" t="s">
        <v>1989</v>
      </c>
      <c r="P176" s="17" t="s">
        <v>1990</v>
      </c>
      <c r="Q176" s="17"/>
      <c r="R176" s="17" t="s">
        <v>1991</v>
      </c>
      <c r="S176" s="17" t="s">
        <v>1992</v>
      </c>
      <c r="T176" s="17" t="s">
        <v>1993</v>
      </c>
      <c r="U176" s="17" t="s">
        <v>907</v>
      </c>
      <c r="V176" s="17" t="s">
        <v>1854</v>
      </c>
      <c r="W176" s="17"/>
      <c r="X176" s="17"/>
      <c r="Y176" s="17"/>
      <c r="Z176" s="195" t="s">
        <v>1994</v>
      </c>
      <c r="AA176" s="186"/>
      <c r="AB176" s="186"/>
      <c r="AC176" s="186"/>
      <c r="AD176" s="186"/>
      <c r="AE176" s="188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</row>
    <row r="177" spans="1:54" ht="21.75" hidden="1" customHeight="1" x14ac:dyDescent="0.3">
      <c r="A177" s="17">
        <v>13</v>
      </c>
      <c r="B177" s="17" t="s">
        <v>1980</v>
      </c>
      <c r="C177" s="17" t="s">
        <v>1856</v>
      </c>
      <c r="D177" s="17" t="s">
        <v>1981</v>
      </c>
      <c r="E177" s="17" t="s">
        <v>1995</v>
      </c>
      <c r="F177" s="17" t="s">
        <v>1996</v>
      </c>
      <c r="G177" s="17" t="s">
        <v>1997</v>
      </c>
      <c r="H177" s="17" t="s">
        <v>1998</v>
      </c>
      <c r="I177" s="26" t="s">
        <v>430</v>
      </c>
      <c r="J177" s="17" t="s">
        <v>1986</v>
      </c>
      <c r="K177" s="17" t="s">
        <v>51</v>
      </c>
      <c r="L177" s="17">
        <v>2</v>
      </c>
      <c r="M177" s="17" t="s">
        <v>1999</v>
      </c>
      <c r="N177" s="17" t="s">
        <v>1988</v>
      </c>
      <c r="O177" s="17" t="s">
        <v>1989</v>
      </c>
      <c r="P177" s="17" t="s">
        <v>1990</v>
      </c>
      <c r="Q177" s="17"/>
      <c r="R177" s="17" t="s">
        <v>1991</v>
      </c>
      <c r="S177" s="17" t="s">
        <v>1992</v>
      </c>
      <c r="T177" s="17" t="s">
        <v>2000</v>
      </c>
      <c r="U177" s="17" t="s">
        <v>907</v>
      </c>
      <c r="V177" s="17" t="s">
        <v>1854</v>
      </c>
      <c r="W177" s="17"/>
      <c r="X177" s="17"/>
      <c r="Y177" s="17"/>
      <c r="Z177" s="195" t="s">
        <v>2001</v>
      </c>
      <c r="AA177" s="186"/>
      <c r="AB177" s="186"/>
      <c r="AC177" s="186"/>
      <c r="AD177" s="186"/>
      <c r="AE177" s="188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</row>
    <row r="178" spans="1:54" ht="21.75" hidden="1" customHeight="1" x14ac:dyDescent="0.3">
      <c r="A178" s="17">
        <v>14</v>
      </c>
      <c r="B178" s="17" t="s">
        <v>2002</v>
      </c>
      <c r="C178" s="17" t="s">
        <v>1856</v>
      </c>
      <c r="D178" s="17" t="s">
        <v>2002</v>
      </c>
      <c r="E178" s="17" t="s">
        <v>2003</v>
      </c>
      <c r="F178" s="17" t="s">
        <v>2004</v>
      </c>
      <c r="G178" s="17" t="s">
        <v>2005</v>
      </c>
      <c r="H178" s="17" t="s">
        <v>2006</v>
      </c>
      <c r="I178" s="26" t="s">
        <v>1954</v>
      </c>
      <c r="J178" s="17" t="s">
        <v>2007</v>
      </c>
      <c r="K178" s="17" t="s">
        <v>34</v>
      </c>
      <c r="L178" s="17">
        <v>9</v>
      </c>
      <c r="M178" s="17" t="s">
        <v>2008</v>
      </c>
      <c r="N178" s="17" t="s">
        <v>2009</v>
      </c>
      <c r="O178" s="17" t="s">
        <v>2010</v>
      </c>
      <c r="P178" s="17" t="s">
        <v>2011</v>
      </c>
      <c r="Q178" s="17"/>
      <c r="R178" s="17" t="s">
        <v>2012</v>
      </c>
      <c r="S178" s="17" t="s">
        <v>2013</v>
      </c>
      <c r="T178" s="17" t="s">
        <v>2014</v>
      </c>
      <c r="U178" s="17" t="s">
        <v>2015</v>
      </c>
      <c r="V178" s="17" t="s">
        <v>1854</v>
      </c>
      <c r="W178" s="17"/>
      <c r="X178" s="17"/>
      <c r="Y178" s="17"/>
      <c r="Z178" s="195" t="s">
        <v>2016</v>
      </c>
      <c r="AA178" s="186"/>
      <c r="AB178" s="186"/>
      <c r="AC178" s="186"/>
      <c r="AD178" s="186"/>
      <c r="AE178" s="188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</row>
    <row r="179" spans="1:54" ht="21.75" hidden="1" customHeight="1" x14ac:dyDescent="0.3">
      <c r="A179" s="17">
        <v>15</v>
      </c>
      <c r="B179" s="17" t="s">
        <v>2017</v>
      </c>
      <c r="C179" s="17" t="s">
        <v>1856</v>
      </c>
      <c r="D179" s="17" t="s">
        <v>1981</v>
      </c>
      <c r="E179" s="17" t="s">
        <v>1076</v>
      </c>
      <c r="F179" s="17" t="s">
        <v>2018</v>
      </c>
      <c r="G179" s="17" t="s">
        <v>364</v>
      </c>
      <c r="H179" s="17" t="s">
        <v>2019</v>
      </c>
      <c r="I179" s="26" t="s">
        <v>2020</v>
      </c>
      <c r="J179" s="17" t="s">
        <v>2021</v>
      </c>
      <c r="K179" s="17" t="s">
        <v>51</v>
      </c>
      <c r="L179" s="17">
        <v>9</v>
      </c>
      <c r="M179" s="17" t="s">
        <v>2022</v>
      </c>
      <c r="N179" s="17" t="s">
        <v>2023</v>
      </c>
      <c r="O179" s="17" t="s">
        <v>2024</v>
      </c>
      <c r="P179" s="17" t="s">
        <v>2025</v>
      </c>
      <c r="Q179" s="17"/>
      <c r="R179" s="17" t="s">
        <v>415</v>
      </c>
      <c r="S179" s="17" t="s">
        <v>2026</v>
      </c>
      <c r="T179" s="17" t="s">
        <v>2027</v>
      </c>
      <c r="U179" s="17" t="s">
        <v>907</v>
      </c>
      <c r="V179" s="17" t="s">
        <v>1854</v>
      </c>
      <c r="W179" s="17"/>
      <c r="X179" s="17"/>
      <c r="Y179" s="17"/>
      <c r="Z179" s="195" t="s">
        <v>2028</v>
      </c>
      <c r="AA179" s="186"/>
      <c r="AB179" s="186"/>
      <c r="AC179" s="186"/>
      <c r="AD179" s="186"/>
      <c r="AE179" s="188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</row>
    <row r="180" spans="1:54" ht="21.75" hidden="1" customHeight="1" x14ac:dyDescent="0.3">
      <c r="A180" s="17">
        <v>16</v>
      </c>
      <c r="B180" s="17" t="s">
        <v>2029</v>
      </c>
      <c r="C180" s="17" t="s">
        <v>1856</v>
      </c>
      <c r="D180" s="17" t="s">
        <v>1981</v>
      </c>
      <c r="E180" s="17" t="s">
        <v>2030</v>
      </c>
      <c r="F180" s="17" t="s">
        <v>2031</v>
      </c>
      <c r="G180" s="17" t="s">
        <v>2032</v>
      </c>
      <c r="H180" s="17" t="s">
        <v>2033</v>
      </c>
      <c r="I180" s="26" t="s">
        <v>2034</v>
      </c>
      <c r="J180" s="17" t="s">
        <v>2035</v>
      </c>
      <c r="K180" s="17" t="s">
        <v>51</v>
      </c>
      <c r="L180" s="17">
        <v>1</v>
      </c>
      <c r="M180" s="17" t="s">
        <v>2036</v>
      </c>
      <c r="N180" s="17" t="s">
        <v>2037</v>
      </c>
      <c r="O180" s="17" t="s">
        <v>2038</v>
      </c>
      <c r="P180" s="17" t="s">
        <v>2039</v>
      </c>
      <c r="Q180" s="17"/>
      <c r="R180" s="17" t="s">
        <v>2040</v>
      </c>
      <c r="S180" s="17" t="s">
        <v>2041</v>
      </c>
      <c r="T180" s="17" t="s">
        <v>415</v>
      </c>
      <c r="U180" s="17" t="s">
        <v>907</v>
      </c>
      <c r="V180" s="17" t="s">
        <v>1854</v>
      </c>
      <c r="W180" s="17"/>
      <c r="X180" s="17"/>
      <c r="Y180" s="17"/>
      <c r="Z180" s="195" t="s">
        <v>2042</v>
      </c>
      <c r="AA180" s="186"/>
      <c r="AB180" s="186"/>
      <c r="AC180" s="186"/>
      <c r="AD180" s="186"/>
      <c r="AE180" s="188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</row>
    <row r="181" spans="1:54" ht="21.75" hidden="1" customHeight="1" x14ac:dyDescent="0.3">
      <c r="A181" s="17">
        <v>17</v>
      </c>
      <c r="B181" s="17" t="s">
        <v>2043</v>
      </c>
      <c r="C181" s="17" t="s">
        <v>1856</v>
      </c>
      <c r="D181" s="17" t="s">
        <v>1981</v>
      </c>
      <c r="E181" s="17" t="s">
        <v>190</v>
      </c>
      <c r="F181" s="17" t="s">
        <v>191</v>
      </c>
      <c r="G181" s="17" t="s">
        <v>2044</v>
      </c>
      <c r="H181" s="17" t="s">
        <v>2045</v>
      </c>
      <c r="I181" s="26" t="s">
        <v>2046</v>
      </c>
      <c r="J181" s="17" t="s">
        <v>2047</v>
      </c>
      <c r="K181" s="17" t="s">
        <v>51</v>
      </c>
      <c r="L181" s="17">
        <v>8</v>
      </c>
      <c r="M181" s="17" t="s">
        <v>2048</v>
      </c>
      <c r="N181" s="17" t="s">
        <v>2049</v>
      </c>
      <c r="O181" s="17" t="s">
        <v>2050</v>
      </c>
      <c r="P181" s="17" t="s">
        <v>2051</v>
      </c>
      <c r="Q181" s="17"/>
      <c r="R181" s="17" t="s">
        <v>2052</v>
      </c>
      <c r="S181" s="17" t="s">
        <v>2053</v>
      </c>
      <c r="T181" s="17" t="s">
        <v>2054</v>
      </c>
      <c r="U181" s="17" t="s">
        <v>907</v>
      </c>
      <c r="V181" s="17" t="s">
        <v>1854</v>
      </c>
      <c r="W181" s="17"/>
      <c r="X181" s="17"/>
      <c r="Y181" s="17"/>
      <c r="Z181" s="195" t="s">
        <v>2055</v>
      </c>
      <c r="AA181" s="186"/>
      <c r="AB181" s="186"/>
      <c r="AC181" s="186"/>
      <c r="AD181" s="186"/>
      <c r="AE181" s="188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</row>
    <row r="182" spans="1:54" ht="21.75" hidden="1" customHeight="1" x14ac:dyDescent="0.3">
      <c r="A182" s="17">
        <v>18</v>
      </c>
      <c r="B182" s="17" t="s">
        <v>2056</v>
      </c>
      <c r="C182" s="17" t="s">
        <v>1856</v>
      </c>
      <c r="D182" s="17" t="s">
        <v>2057</v>
      </c>
      <c r="E182" s="17" t="s">
        <v>2058</v>
      </c>
      <c r="F182" s="17" t="s">
        <v>2059</v>
      </c>
      <c r="G182" s="17" t="s">
        <v>2060</v>
      </c>
      <c r="H182" s="17" t="s">
        <v>1998</v>
      </c>
      <c r="I182" s="26" t="s">
        <v>2061</v>
      </c>
      <c r="J182" s="17" t="s">
        <v>2062</v>
      </c>
      <c r="K182" s="17" t="s">
        <v>34</v>
      </c>
      <c r="L182" s="17">
        <v>2</v>
      </c>
      <c r="M182" s="17" t="s">
        <v>2063</v>
      </c>
      <c r="N182" s="17" t="s">
        <v>2064</v>
      </c>
      <c r="O182" s="17" t="s">
        <v>2065</v>
      </c>
      <c r="P182" s="17" t="s">
        <v>2066</v>
      </c>
      <c r="Q182" s="17"/>
      <c r="R182" s="17" t="s">
        <v>2067</v>
      </c>
      <c r="S182" s="17" t="s">
        <v>2068</v>
      </c>
      <c r="T182" s="17" t="s">
        <v>2069</v>
      </c>
      <c r="U182" s="30" t="s">
        <v>907</v>
      </c>
      <c r="V182" s="17" t="s">
        <v>1854</v>
      </c>
      <c r="W182" s="79"/>
      <c r="X182" s="79"/>
      <c r="Y182" s="30"/>
      <c r="Z182" s="196" t="s">
        <v>2070</v>
      </c>
      <c r="AA182" s="186"/>
      <c r="AB182" s="186"/>
      <c r="AC182" s="186"/>
      <c r="AD182" s="186"/>
      <c r="AE182" s="188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</row>
    <row r="183" spans="1:54" ht="21.75" hidden="1" customHeight="1" x14ac:dyDescent="0.3">
      <c r="A183" s="17">
        <v>19</v>
      </c>
      <c r="B183" s="17" t="s">
        <v>2071</v>
      </c>
      <c r="C183" s="17" t="s">
        <v>1856</v>
      </c>
      <c r="D183" s="17" t="s">
        <v>2057</v>
      </c>
      <c r="E183" s="17" t="s">
        <v>2072</v>
      </c>
      <c r="F183" s="17" t="s">
        <v>2073</v>
      </c>
      <c r="G183" s="17" t="s">
        <v>2074</v>
      </c>
      <c r="H183" s="17" t="s">
        <v>2075</v>
      </c>
      <c r="I183" s="26" t="s">
        <v>406</v>
      </c>
      <c r="J183" s="17" t="s">
        <v>2076</v>
      </c>
      <c r="K183" s="17" t="s">
        <v>34</v>
      </c>
      <c r="L183" s="17">
        <v>1</v>
      </c>
      <c r="M183" s="17" t="s">
        <v>2077</v>
      </c>
      <c r="N183" s="17" t="s">
        <v>2078</v>
      </c>
      <c r="O183" s="17" t="s">
        <v>2079</v>
      </c>
      <c r="P183" s="17" t="s">
        <v>2080</v>
      </c>
      <c r="Q183" s="17"/>
      <c r="R183" s="17" t="s">
        <v>2081</v>
      </c>
      <c r="S183" s="17" t="s">
        <v>2082</v>
      </c>
      <c r="T183" s="17" t="s">
        <v>415</v>
      </c>
      <c r="U183" s="30" t="s">
        <v>907</v>
      </c>
      <c r="V183" s="17" t="s">
        <v>1854</v>
      </c>
      <c r="W183" s="79"/>
      <c r="X183" s="79"/>
      <c r="Y183" s="30"/>
      <c r="Z183" s="196" t="s">
        <v>2083</v>
      </c>
      <c r="AA183" s="186"/>
      <c r="AB183" s="186"/>
      <c r="AC183" s="186"/>
      <c r="AD183" s="186"/>
      <c r="AE183" s="188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</row>
    <row r="184" spans="1:54" ht="21.75" hidden="1" customHeight="1" x14ac:dyDescent="0.3">
      <c r="A184" s="17">
        <v>20</v>
      </c>
      <c r="B184" s="17" t="s">
        <v>2071</v>
      </c>
      <c r="C184" s="17" t="s">
        <v>1856</v>
      </c>
      <c r="D184" s="17" t="s">
        <v>2057</v>
      </c>
      <c r="E184" s="17" t="s">
        <v>2084</v>
      </c>
      <c r="F184" s="17" t="s">
        <v>2085</v>
      </c>
      <c r="G184" s="17" t="s">
        <v>2086</v>
      </c>
      <c r="H184" s="17" t="s">
        <v>2087</v>
      </c>
      <c r="I184" s="26" t="s">
        <v>406</v>
      </c>
      <c r="J184" s="17" t="s">
        <v>2076</v>
      </c>
      <c r="K184" s="17" t="s">
        <v>51</v>
      </c>
      <c r="L184" s="17">
        <v>5</v>
      </c>
      <c r="M184" s="17" t="s">
        <v>2088</v>
      </c>
      <c r="N184" s="17" t="s">
        <v>2078</v>
      </c>
      <c r="O184" s="17" t="s">
        <v>2079</v>
      </c>
      <c r="P184" s="17" t="s">
        <v>2080</v>
      </c>
      <c r="Q184" s="17"/>
      <c r="R184" s="17" t="s">
        <v>2081</v>
      </c>
      <c r="S184" s="17" t="s">
        <v>2082</v>
      </c>
      <c r="T184" s="17" t="s">
        <v>2089</v>
      </c>
      <c r="U184" s="30" t="s">
        <v>907</v>
      </c>
      <c r="V184" s="17" t="s">
        <v>1854</v>
      </c>
      <c r="W184" s="79"/>
      <c r="X184" s="79"/>
      <c r="Y184" s="30"/>
      <c r="Z184" s="196" t="s">
        <v>2083</v>
      </c>
      <c r="AA184" s="186"/>
      <c r="AB184" s="186"/>
      <c r="AC184" s="186"/>
      <c r="AD184" s="186"/>
      <c r="AE184" s="188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</row>
    <row r="185" spans="1:54" ht="21.75" hidden="1" customHeight="1" x14ac:dyDescent="0.3">
      <c r="A185" s="17">
        <v>21</v>
      </c>
      <c r="B185" s="17" t="s">
        <v>2056</v>
      </c>
      <c r="C185" s="17" t="s">
        <v>1856</v>
      </c>
      <c r="D185" s="17" t="s">
        <v>2057</v>
      </c>
      <c r="E185" s="17" t="s">
        <v>1112</v>
      </c>
      <c r="F185" s="17" t="s">
        <v>895</v>
      </c>
      <c r="G185" s="17" t="s">
        <v>896</v>
      </c>
      <c r="H185" s="17" t="s">
        <v>897</v>
      </c>
      <c r="I185" s="26" t="s">
        <v>898</v>
      </c>
      <c r="J185" s="17" t="s">
        <v>899</v>
      </c>
      <c r="K185" s="17" t="s">
        <v>51</v>
      </c>
      <c r="L185" s="17">
        <v>3</v>
      </c>
      <c r="M185" s="17" t="s">
        <v>900</v>
      </c>
      <c r="N185" s="17" t="s">
        <v>901</v>
      </c>
      <c r="O185" s="17" t="s">
        <v>902</v>
      </c>
      <c r="P185" s="17" t="s">
        <v>2090</v>
      </c>
      <c r="Q185" s="17"/>
      <c r="R185" s="17" t="s">
        <v>904</v>
      </c>
      <c r="S185" s="17" t="s">
        <v>905</v>
      </c>
      <c r="T185" s="17" t="s">
        <v>906</v>
      </c>
      <c r="U185" s="30" t="s">
        <v>907</v>
      </c>
      <c r="V185" s="17" t="s">
        <v>1854</v>
      </c>
      <c r="W185" s="79"/>
      <c r="X185" s="79"/>
      <c r="Y185" s="30"/>
      <c r="Z185" s="196" t="s">
        <v>2070</v>
      </c>
      <c r="AA185" s="186"/>
      <c r="AB185" s="186"/>
      <c r="AC185" s="186"/>
      <c r="AD185" s="186"/>
      <c r="AE185" s="188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</row>
    <row r="186" spans="1:54" ht="21.75" hidden="1" customHeight="1" x14ac:dyDescent="0.3">
      <c r="A186" s="17">
        <v>22</v>
      </c>
      <c r="B186" s="17" t="s">
        <v>2071</v>
      </c>
      <c r="C186" s="17" t="s">
        <v>1856</v>
      </c>
      <c r="D186" s="17" t="s">
        <v>2057</v>
      </c>
      <c r="E186" s="17" t="s">
        <v>2091</v>
      </c>
      <c r="F186" s="17" t="s">
        <v>2092</v>
      </c>
      <c r="G186" s="17" t="s">
        <v>1568</v>
      </c>
      <c r="H186" s="17" t="s">
        <v>2093</v>
      </c>
      <c r="I186" s="26" t="s">
        <v>2094</v>
      </c>
      <c r="J186" s="17" t="s">
        <v>2095</v>
      </c>
      <c r="K186" s="17" t="s">
        <v>34</v>
      </c>
      <c r="L186" s="17">
        <v>3</v>
      </c>
      <c r="M186" s="17" t="s">
        <v>2096</v>
      </c>
      <c r="N186" s="17" t="s">
        <v>2097</v>
      </c>
      <c r="O186" s="17" t="s">
        <v>2098</v>
      </c>
      <c r="P186" s="17" t="s">
        <v>2099</v>
      </c>
      <c r="Q186" s="17"/>
      <c r="R186" s="17" t="s">
        <v>2100</v>
      </c>
      <c r="S186" s="17" t="s">
        <v>2101</v>
      </c>
      <c r="T186" s="17" t="s">
        <v>2102</v>
      </c>
      <c r="U186" s="30" t="s">
        <v>907</v>
      </c>
      <c r="V186" s="17" t="s">
        <v>1854</v>
      </c>
      <c r="W186" s="79"/>
      <c r="X186" s="79"/>
      <c r="Y186" s="30"/>
      <c r="Z186" s="196" t="s">
        <v>2083</v>
      </c>
      <c r="AA186" s="186"/>
      <c r="AB186" s="186"/>
      <c r="AC186" s="186"/>
      <c r="AD186" s="186"/>
      <c r="AE186" s="188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</row>
    <row r="187" spans="1:54" ht="21.75" hidden="1" customHeight="1" x14ac:dyDescent="0.3">
      <c r="A187" s="17">
        <v>23</v>
      </c>
      <c r="B187" s="17" t="s">
        <v>2057</v>
      </c>
      <c r="C187" s="17" t="s">
        <v>1856</v>
      </c>
      <c r="D187" s="17" t="s">
        <v>2057</v>
      </c>
      <c r="E187" s="17" t="s">
        <v>2103</v>
      </c>
      <c r="F187" s="17" t="s">
        <v>2104</v>
      </c>
      <c r="G187" s="17" t="s">
        <v>2105</v>
      </c>
      <c r="H187" s="17" t="s">
        <v>2106</v>
      </c>
      <c r="I187" s="26" t="s">
        <v>32</v>
      </c>
      <c r="J187" s="17" t="s">
        <v>2107</v>
      </c>
      <c r="K187" s="17" t="s">
        <v>34</v>
      </c>
      <c r="L187" s="17">
        <v>1</v>
      </c>
      <c r="M187" s="17" t="s">
        <v>2108</v>
      </c>
      <c r="N187" s="17" t="s">
        <v>2109</v>
      </c>
      <c r="O187" s="17" t="s">
        <v>2110</v>
      </c>
      <c r="P187" s="17" t="s">
        <v>2111</v>
      </c>
      <c r="Q187" s="17"/>
      <c r="R187" s="17" t="s">
        <v>2112</v>
      </c>
      <c r="S187" s="17" t="s">
        <v>2113</v>
      </c>
      <c r="T187" s="17" t="s">
        <v>415</v>
      </c>
      <c r="U187" s="30" t="s">
        <v>907</v>
      </c>
      <c r="V187" s="17" t="s">
        <v>1854</v>
      </c>
      <c r="W187" s="79"/>
      <c r="X187" s="79"/>
      <c r="Y187" s="30"/>
      <c r="Z187" s="196" t="s">
        <v>2114</v>
      </c>
      <c r="AA187" s="186"/>
      <c r="AB187" s="186"/>
      <c r="AC187" s="186"/>
      <c r="AD187" s="186"/>
      <c r="AE187" s="188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</row>
    <row r="188" spans="1:54" ht="21.75" hidden="1" customHeight="1" x14ac:dyDescent="0.3">
      <c r="A188" s="17">
        <v>24</v>
      </c>
      <c r="B188" s="17" t="s">
        <v>2115</v>
      </c>
      <c r="C188" s="17" t="s">
        <v>1856</v>
      </c>
      <c r="D188" s="17" t="s">
        <v>2116</v>
      </c>
      <c r="E188" s="17" t="s">
        <v>2117</v>
      </c>
      <c r="F188" s="17" t="s">
        <v>2118</v>
      </c>
      <c r="G188" s="17" t="s">
        <v>996</v>
      </c>
      <c r="H188" s="17" t="s">
        <v>2119</v>
      </c>
      <c r="I188" s="26" t="s">
        <v>2120</v>
      </c>
      <c r="J188" s="17" t="s">
        <v>2121</v>
      </c>
      <c r="K188" s="17" t="s">
        <v>34</v>
      </c>
      <c r="L188" s="17">
        <v>7</v>
      </c>
      <c r="M188" s="17" t="s">
        <v>2122</v>
      </c>
      <c r="N188" s="17" t="s">
        <v>2123</v>
      </c>
      <c r="O188" s="17" t="s">
        <v>2124</v>
      </c>
      <c r="P188" s="17" t="s">
        <v>2125</v>
      </c>
      <c r="Q188" s="17"/>
      <c r="R188" s="17" t="s">
        <v>2126</v>
      </c>
      <c r="S188" s="17" t="s">
        <v>2127</v>
      </c>
      <c r="T188" s="17" t="s">
        <v>2128</v>
      </c>
      <c r="U188" s="30" t="s">
        <v>2116</v>
      </c>
      <c r="V188" s="17" t="s">
        <v>1854</v>
      </c>
      <c r="W188" s="79"/>
      <c r="X188" s="79"/>
      <c r="Y188" s="30"/>
      <c r="Z188" s="196" t="s">
        <v>2129</v>
      </c>
      <c r="AA188" s="186"/>
      <c r="AB188" s="186"/>
      <c r="AC188" s="186"/>
      <c r="AD188" s="186"/>
      <c r="AE188" s="188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</row>
    <row r="189" spans="1:54" ht="21.75" hidden="1" customHeight="1" x14ac:dyDescent="0.3">
      <c r="A189" s="17">
        <v>25</v>
      </c>
      <c r="B189" s="17" t="s">
        <v>2116</v>
      </c>
      <c r="C189" s="17" t="s">
        <v>1856</v>
      </c>
      <c r="D189" s="17" t="s">
        <v>2116</v>
      </c>
      <c r="E189" s="17" t="s">
        <v>2130</v>
      </c>
      <c r="F189" s="17" t="s">
        <v>2131</v>
      </c>
      <c r="G189" s="17" t="s">
        <v>2132</v>
      </c>
      <c r="H189" s="17" t="s">
        <v>2133</v>
      </c>
      <c r="I189" s="26" t="s">
        <v>2134</v>
      </c>
      <c r="J189" s="17" t="s">
        <v>2135</v>
      </c>
      <c r="K189" s="17" t="s">
        <v>34</v>
      </c>
      <c r="L189" s="17">
        <v>6</v>
      </c>
      <c r="M189" s="17" t="s">
        <v>2136</v>
      </c>
      <c r="N189" s="17" t="s">
        <v>2137</v>
      </c>
      <c r="O189" s="17" t="s">
        <v>2138</v>
      </c>
      <c r="P189" s="17" t="s">
        <v>2139</v>
      </c>
      <c r="Q189" s="17"/>
      <c r="R189" s="17" t="s">
        <v>2140</v>
      </c>
      <c r="S189" s="17" t="s">
        <v>2141</v>
      </c>
      <c r="T189" s="17" t="s">
        <v>2142</v>
      </c>
      <c r="U189" s="30" t="s">
        <v>2143</v>
      </c>
      <c r="V189" s="17" t="s">
        <v>1854</v>
      </c>
      <c r="W189" s="79"/>
      <c r="X189" s="79"/>
      <c r="Y189" s="30"/>
      <c r="Z189" s="196" t="s">
        <v>2129</v>
      </c>
      <c r="AA189" s="186"/>
      <c r="AB189" s="186"/>
      <c r="AC189" s="186"/>
      <c r="AD189" s="186"/>
      <c r="AE189" s="188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</row>
    <row r="190" spans="1:54" ht="21.75" hidden="1" customHeight="1" x14ac:dyDescent="0.3">
      <c r="A190" s="17">
        <v>26</v>
      </c>
      <c r="B190" s="17" t="s">
        <v>2056</v>
      </c>
      <c r="C190" s="17" t="s">
        <v>1856</v>
      </c>
      <c r="D190" s="17" t="s">
        <v>2144</v>
      </c>
      <c r="E190" s="17" t="s">
        <v>2145</v>
      </c>
      <c r="F190" s="17" t="s">
        <v>2146</v>
      </c>
      <c r="G190" s="17" t="s">
        <v>2147</v>
      </c>
      <c r="H190" s="17" t="s">
        <v>2148</v>
      </c>
      <c r="I190" s="26" t="s">
        <v>430</v>
      </c>
      <c r="J190" s="17" t="s">
        <v>2149</v>
      </c>
      <c r="K190" s="17" t="s">
        <v>34</v>
      </c>
      <c r="L190" s="17">
        <v>1</v>
      </c>
      <c r="M190" s="17" t="s">
        <v>2150</v>
      </c>
      <c r="N190" s="17" t="s">
        <v>2151</v>
      </c>
      <c r="O190" s="17" t="s">
        <v>2152</v>
      </c>
      <c r="P190" s="17" t="s">
        <v>2153</v>
      </c>
      <c r="Q190" s="17"/>
      <c r="R190" s="17" t="s">
        <v>2154</v>
      </c>
      <c r="S190" s="17" t="s">
        <v>2155</v>
      </c>
      <c r="T190" s="17" t="s">
        <v>415</v>
      </c>
      <c r="U190" s="30" t="s">
        <v>2156</v>
      </c>
      <c r="V190" s="17" t="s">
        <v>1854</v>
      </c>
      <c r="W190" s="79"/>
      <c r="X190" s="79"/>
      <c r="Y190" s="30"/>
      <c r="Z190" s="196" t="s">
        <v>2070</v>
      </c>
      <c r="AA190" s="186"/>
      <c r="AB190" s="186"/>
      <c r="AC190" s="186"/>
      <c r="AD190" s="186"/>
      <c r="AE190" s="188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</row>
    <row r="191" spans="1:54" ht="21.75" hidden="1" customHeight="1" x14ac:dyDescent="0.3">
      <c r="A191" s="17">
        <v>27</v>
      </c>
      <c r="B191" s="17" t="s">
        <v>2157</v>
      </c>
      <c r="C191" s="17" t="s">
        <v>1856</v>
      </c>
      <c r="D191" s="17" t="s">
        <v>2157</v>
      </c>
      <c r="E191" s="17" t="s">
        <v>2158</v>
      </c>
      <c r="F191" s="17" t="s">
        <v>2159</v>
      </c>
      <c r="G191" s="17" t="s">
        <v>1730</v>
      </c>
      <c r="H191" s="17" t="s">
        <v>2160</v>
      </c>
      <c r="I191" s="26" t="s">
        <v>2161</v>
      </c>
      <c r="J191" s="17" t="s">
        <v>2162</v>
      </c>
      <c r="K191" s="17" t="s">
        <v>34</v>
      </c>
      <c r="L191" s="17">
        <v>6</v>
      </c>
      <c r="M191" s="17" t="s">
        <v>2163</v>
      </c>
      <c r="N191" s="17" t="s">
        <v>2164</v>
      </c>
      <c r="O191" s="17" t="s">
        <v>2165</v>
      </c>
      <c r="P191" s="17" t="s">
        <v>2166</v>
      </c>
      <c r="Q191" s="17"/>
      <c r="R191" s="17" t="s">
        <v>2167</v>
      </c>
      <c r="S191" s="17" t="s">
        <v>2168</v>
      </c>
      <c r="T191" s="17" t="s">
        <v>2169</v>
      </c>
      <c r="U191" s="30" t="s">
        <v>2170</v>
      </c>
      <c r="V191" s="17" t="s">
        <v>1854</v>
      </c>
      <c r="W191" s="79"/>
      <c r="X191" s="79"/>
      <c r="Y191" s="30"/>
      <c r="Z191" s="196" t="s">
        <v>2171</v>
      </c>
      <c r="AA191" s="186"/>
      <c r="AB191" s="186"/>
      <c r="AC191" s="186"/>
      <c r="AD191" s="186"/>
      <c r="AE191" s="188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</row>
    <row r="192" spans="1:54" ht="21.75" hidden="1" customHeight="1" x14ac:dyDescent="0.3">
      <c r="A192" s="17">
        <v>28</v>
      </c>
      <c r="B192" s="17" t="s">
        <v>2172</v>
      </c>
      <c r="C192" s="17" t="s">
        <v>1856</v>
      </c>
      <c r="D192" s="17" t="s">
        <v>2173</v>
      </c>
      <c r="E192" s="17" t="s">
        <v>2174</v>
      </c>
      <c r="F192" s="17" t="s">
        <v>2175</v>
      </c>
      <c r="G192" s="17" t="s">
        <v>2176</v>
      </c>
      <c r="H192" s="17" t="s">
        <v>2177</v>
      </c>
      <c r="I192" s="26" t="s">
        <v>406</v>
      </c>
      <c r="J192" s="17" t="s">
        <v>2178</v>
      </c>
      <c r="K192" s="17" t="s">
        <v>51</v>
      </c>
      <c r="L192" s="17">
        <v>7</v>
      </c>
      <c r="M192" s="17" t="s">
        <v>2179</v>
      </c>
      <c r="N192" s="17" t="s">
        <v>2180</v>
      </c>
      <c r="O192" s="17" t="s">
        <v>2181</v>
      </c>
      <c r="P192" s="17" t="s">
        <v>2182</v>
      </c>
      <c r="Q192" s="17"/>
      <c r="R192" s="17" t="s">
        <v>2183</v>
      </c>
      <c r="S192" s="17" t="s">
        <v>2184</v>
      </c>
      <c r="T192" s="17" t="s">
        <v>2185</v>
      </c>
      <c r="U192" s="30" t="s">
        <v>2186</v>
      </c>
      <c r="V192" s="17" t="s">
        <v>1854</v>
      </c>
      <c r="W192" s="79"/>
      <c r="X192" s="79"/>
      <c r="Y192" s="30"/>
      <c r="Z192" s="196" t="s">
        <v>2187</v>
      </c>
      <c r="AA192" s="186"/>
      <c r="AB192" s="186"/>
      <c r="AC192" s="186"/>
      <c r="AD192" s="186"/>
      <c r="AE192" s="188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</row>
    <row r="193" spans="1:54" ht="21.75" hidden="1" customHeight="1" x14ac:dyDescent="0.3">
      <c r="A193" s="17">
        <v>29</v>
      </c>
      <c r="B193" s="17" t="s">
        <v>2188</v>
      </c>
      <c r="C193" s="17" t="s">
        <v>1856</v>
      </c>
      <c r="D193" s="17" t="s">
        <v>2189</v>
      </c>
      <c r="E193" s="17" t="s">
        <v>2190</v>
      </c>
      <c r="F193" s="17" t="s">
        <v>2191</v>
      </c>
      <c r="G193" s="17" t="s">
        <v>2192</v>
      </c>
      <c r="H193" s="17" t="s">
        <v>2087</v>
      </c>
      <c r="I193" s="80" t="s">
        <v>2193</v>
      </c>
      <c r="J193" s="70" t="s">
        <v>2194</v>
      </c>
      <c r="K193" s="17" t="s">
        <v>51</v>
      </c>
      <c r="L193" s="17">
        <v>3</v>
      </c>
      <c r="M193" s="17" t="s">
        <v>2195</v>
      </c>
      <c r="N193" s="17" t="s">
        <v>2196</v>
      </c>
      <c r="O193" s="17" t="s">
        <v>2197</v>
      </c>
      <c r="P193" s="81" t="s">
        <v>2198</v>
      </c>
      <c r="Q193" s="17"/>
      <c r="R193" s="70" t="s">
        <v>2199</v>
      </c>
      <c r="S193" s="70" t="s">
        <v>2200</v>
      </c>
      <c r="T193" s="17" t="s">
        <v>415</v>
      </c>
      <c r="U193" s="70" t="s">
        <v>2201</v>
      </c>
      <c r="V193" s="17"/>
      <c r="W193" s="17"/>
      <c r="X193" s="17"/>
      <c r="Y193" s="17"/>
      <c r="Z193" s="195" t="s">
        <v>2202</v>
      </c>
      <c r="AA193" s="186"/>
      <c r="AB193" s="186"/>
      <c r="AC193" s="186"/>
      <c r="AD193" s="186"/>
      <c r="AE193" s="188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</row>
    <row r="194" spans="1:54" ht="21.75" hidden="1" customHeight="1" x14ac:dyDescent="0.3">
      <c r="A194" s="17">
        <v>30</v>
      </c>
      <c r="B194" s="17" t="s">
        <v>2188</v>
      </c>
      <c r="C194" s="17" t="s">
        <v>1856</v>
      </c>
      <c r="D194" s="17" t="s">
        <v>2203</v>
      </c>
      <c r="E194" s="17" t="s">
        <v>2204</v>
      </c>
      <c r="F194" s="17" t="s">
        <v>2205</v>
      </c>
      <c r="G194" s="17" t="s">
        <v>388</v>
      </c>
      <c r="H194" s="17" t="s">
        <v>2206</v>
      </c>
      <c r="I194" s="26" t="s">
        <v>2207</v>
      </c>
      <c r="J194" s="17" t="s">
        <v>2208</v>
      </c>
      <c r="K194" s="17" t="s">
        <v>34</v>
      </c>
      <c r="L194" s="17">
        <v>1</v>
      </c>
      <c r="M194" s="17" t="s">
        <v>2209</v>
      </c>
      <c r="N194" s="17" t="s">
        <v>2210</v>
      </c>
      <c r="O194" s="17" t="s">
        <v>2211</v>
      </c>
      <c r="P194" s="17" t="s">
        <v>2212</v>
      </c>
      <c r="Q194" s="17"/>
      <c r="R194" s="17" t="s">
        <v>2213</v>
      </c>
      <c r="S194" s="17" t="s">
        <v>2214</v>
      </c>
      <c r="T194" s="17" t="s">
        <v>415</v>
      </c>
      <c r="U194" s="30" t="s">
        <v>522</v>
      </c>
      <c r="V194" s="17"/>
      <c r="W194" s="17"/>
      <c r="X194" s="17" t="s">
        <v>524</v>
      </c>
      <c r="Y194" s="17"/>
      <c r="Z194" s="195" t="s">
        <v>2215</v>
      </c>
      <c r="AA194" s="186"/>
      <c r="AB194" s="186"/>
      <c r="AC194" s="186"/>
      <c r="AD194" s="186"/>
      <c r="AE194" s="188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</row>
    <row r="195" spans="1:54" ht="21.75" hidden="1" customHeight="1" x14ac:dyDescent="0.3">
      <c r="A195" s="17">
        <v>31</v>
      </c>
      <c r="B195" s="17" t="s">
        <v>2188</v>
      </c>
      <c r="C195" s="17" t="s">
        <v>1856</v>
      </c>
      <c r="D195" s="17" t="s">
        <v>2188</v>
      </c>
      <c r="E195" s="17" t="s">
        <v>2216</v>
      </c>
      <c r="F195" s="17" t="s">
        <v>2217</v>
      </c>
      <c r="G195" s="17" t="s">
        <v>2218</v>
      </c>
      <c r="H195" s="17" t="s">
        <v>2219</v>
      </c>
      <c r="I195" s="26" t="s">
        <v>302</v>
      </c>
      <c r="J195" s="17" t="s">
        <v>2220</v>
      </c>
      <c r="K195" s="17" t="s">
        <v>34</v>
      </c>
      <c r="L195" s="17">
        <v>1</v>
      </c>
      <c r="M195" s="17" t="s">
        <v>2221</v>
      </c>
      <c r="N195" s="17" t="s">
        <v>2222</v>
      </c>
      <c r="O195" s="17" t="s">
        <v>2223</v>
      </c>
      <c r="P195" s="17" t="s">
        <v>2224</v>
      </c>
      <c r="Q195" s="17"/>
      <c r="R195" s="17" t="s">
        <v>2225</v>
      </c>
      <c r="S195" s="17" t="s">
        <v>2226</v>
      </c>
      <c r="T195" s="17" t="s">
        <v>415</v>
      </c>
      <c r="U195" s="30" t="s">
        <v>522</v>
      </c>
      <c r="V195" s="17"/>
      <c r="W195" s="17"/>
      <c r="X195" s="17" t="s">
        <v>524</v>
      </c>
      <c r="Y195" s="17"/>
      <c r="Z195" s="195" t="s">
        <v>2215</v>
      </c>
      <c r="AA195" s="186"/>
      <c r="AB195" s="186"/>
      <c r="AC195" s="186"/>
      <c r="AD195" s="186"/>
      <c r="AE195" s="188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</row>
    <row r="196" spans="1:54" ht="21" hidden="1" customHeight="1" x14ac:dyDescent="0.3">
      <c r="A196" s="17">
        <v>32</v>
      </c>
      <c r="B196" s="17" t="s">
        <v>2227</v>
      </c>
      <c r="C196" s="17" t="s">
        <v>1856</v>
      </c>
      <c r="D196" s="17" t="s">
        <v>2227</v>
      </c>
      <c r="E196" s="17" t="s">
        <v>866</v>
      </c>
      <c r="F196" s="17" t="s">
        <v>867</v>
      </c>
      <c r="G196" s="17" t="s">
        <v>2228</v>
      </c>
      <c r="H196" s="17" t="s">
        <v>869</v>
      </c>
      <c r="I196" s="26" t="s">
        <v>2229</v>
      </c>
      <c r="J196" s="17" t="s">
        <v>2230</v>
      </c>
      <c r="K196" s="17" t="s">
        <v>51</v>
      </c>
      <c r="L196" s="17">
        <v>3</v>
      </c>
      <c r="M196" s="17" t="s">
        <v>871</v>
      </c>
      <c r="N196" s="17" t="s">
        <v>872</v>
      </c>
      <c r="O196" s="17" t="s">
        <v>873</v>
      </c>
      <c r="P196" s="17" t="s">
        <v>874</v>
      </c>
      <c r="Q196" s="17"/>
      <c r="R196" s="17" t="s">
        <v>875</v>
      </c>
      <c r="S196" s="17" t="s">
        <v>876</v>
      </c>
      <c r="T196" s="17" t="s">
        <v>877</v>
      </c>
      <c r="U196" s="30" t="s">
        <v>522</v>
      </c>
      <c r="V196" s="17"/>
      <c r="W196" s="17"/>
      <c r="X196" s="17" t="s">
        <v>878</v>
      </c>
      <c r="Y196" s="17"/>
      <c r="Z196" s="195" t="s">
        <v>879</v>
      </c>
      <c r="AA196" s="186"/>
      <c r="AB196" s="186"/>
      <c r="AC196" s="186"/>
      <c r="AD196" s="186"/>
      <c r="AE196" s="188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</row>
    <row r="197" spans="1:54" ht="21.75" hidden="1" customHeight="1" x14ac:dyDescent="0.3">
      <c r="A197" s="17">
        <v>33</v>
      </c>
      <c r="B197" s="17" t="s">
        <v>2231</v>
      </c>
      <c r="C197" s="17" t="s">
        <v>1856</v>
      </c>
      <c r="D197" s="17" t="s">
        <v>2231</v>
      </c>
      <c r="E197" s="17" t="s">
        <v>2232</v>
      </c>
      <c r="F197" s="17" t="s">
        <v>2233</v>
      </c>
      <c r="G197" s="17" t="s">
        <v>1270</v>
      </c>
      <c r="H197" s="17" t="s">
        <v>2234</v>
      </c>
      <c r="I197" s="26" t="s">
        <v>1861</v>
      </c>
      <c r="J197" s="17" t="s">
        <v>2235</v>
      </c>
      <c r="K197" s="17" t="s">
        <v>51</v>
      </c>
      <c r="L197" s="17">
        <v>1</v>
      </c>
      <c r="M197" s="17" t="s">
        <v>2236</v>
      </c>
      <c r="N197" s="17" t="s">
        <v>2237</v>
      </c>
      <c r="O197" s="17" t="s">
        <v>2238</v>
      </c>
      <c r="P197" s="17" t="s">
        <v>2239</v>
      </c>
      <c r="Q197" s="17"/>
      <c r="R197" s="17" t="s">
        <v>2240</v>
      </c>
      <c r="S197" s="17" t="s">
        <v>2241</v>
      </c>
      <c r="T197" s="17"/>
      <c r="U197" s="30" t="s">
        <v>522</v>
      </c>
      <c r="V197" s="17"/>
      <c r="W197" s="17"/>
      <c r="X197" s="17" t="s">
        <v>524</v>
      </c>
      <c r="Y197" s="17"/>
      <c r="Z197" s="195" t="s">
        <v>2242</v>
      </c>
      <c r="AA197" s="186"/>
      <c r="AB197" s="186"/>
      <c r="AC197" s="186"/>
      <c r="AD197" s="186"/>
      <c r="AE197" s="188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</row>
    <row r="198" spans="1:54" ht="21.75" hidden="1" customHeight="1" x14ac:dyDescent="0.3">
      <c r="A198" s="17">
        <v>34</v>
      </c>
      <c r="B198" s="17" t="s">
        <v>2231</v>
      </c>
      <c r="C198" s="17" t="s">
        <v>1856</v>
      </c>
      <c r="D198" s="17" t="s">
        <v>2243</v>
      </c>
      <c r="E198" s="17" t="s">
        <v>2244</v>
      </c>
      <c r="F198" s="17" t="s">
        <v>2245</v>
      </c>
      <c r="G198" s="17" t="s">
        <v>2246</v>
      </c>
      <c r="H198" s="17" t="s">
        <v>2247</v>
      </c>
      <c r="I198" s="26" t="s">
        <v>1163</v>
      </c>
      <c r="J198" s="17" t="s">
        <v>2248</v>
      </c>
      <c r="K198" s="17" t="s">
        <v>51</v>
      </c>
      <c r="L198" s="17">
        <v>5</v>
      </c>
      <c r="M198" s="17" t="s">
        <v>2249</v>
      </c>
      <c r="N198" s="17" t="s">
        <v>2250</v>
      </c>
      <c r="O198" s="17" t="s">
        <v>2251</v>
      </c>
      <c r="P198" s="17" t="s">
        <v>2252</v>
      </c>
      <c r="Q198" s="17"/>
      <c r="R198" s="17" t="s">
        <v>2253</v>
      </c>
      <c r="S198" s="17" t="s">
        <v>2254</v>
      </c>
      <c r="T198" s="17" t="s">
        <v>2255</v>
      </c>
      <c r="U198" s="30" t="s">
        <v>2243</v>
      </c>
      <c r="V198" s="17"/>
      <c r="W198" s="17"/>
      <c r="X198" s="17"/>
      <c r="Y198" s="17"/>
      <c r="Z198" s="195" t="s">
        <v>2256</v>
      </c>
      <c r="AA198" s="186"/>
      <c r="AB198" s="186"/>
      <c r="AC198" s="186"/>
      <c r="AD198" s="186"/>
      <c r="AE198" s="188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</row>
    <row r="199" spans="1:54" ht="21.75" hidden="1" customHeight="1" x14ac:dyDescent="0.3">
      <c r="A199" s="17">
        <v>35</v>
      </c>
      <c r="B199" s="17" t="s">
        <v>2257</v>
      </c>
      <c r="C199" s="17" t="s">
        <v>1856</v>
      </c>
      <c r="D199" s="17" t="s">
        <v>2258</v>
      </c>
      <c r="E199" s="17" t="s">
        <v>510</v>
      </c>
      <c r="F199" s="17" t="s">
        <v>511</v>
      </c>
      <c r="G199" s="17" t="s">
        <v>2259</v>
      </c>
      <c r="H199" s="17" t="s">
        <v>513</v>
      </c>
      <c r="I199" s="26" t="s">
        <v>514</v>
      </c>
      <c r="J199" s="17" t="s">
        <v>2260</v>
      </c>
      <c r="K199" s="17" t="s">
        <v>51</v>
      </c>
      <c r="L199" s="17">
        <v>1</v>
      </c>
      <c r="M199" s="17" t="s">
        <v>516</v>
      </c>
      <c r="N199" s="17" t="s">
        <v>517</v>
      </c>
      <c r="O199" s="17" t="s">
        <v>518</v>
      </c>
      <c r="P199" s="17" t="s">
        <v>2261</v>
      </c>
      <c r="Q199" s="17"/>
      <c r="R199" s="17" t="s">
        <v>520</v>
      </c>
      <c r="S199" s="17" t="s">
        <v>2262</v>
      </c>
      <c r="T199" s="17" t="s">
        <v>415</v>
      </c>
      <c r="U199" s="30" t="s">
        <v>522</v>
      </c>
      <c r="V199" s="17"/>
      <c r="W199" s="17"/>
      <c r="X199" s="17" t="s">
        <v>524</v>
      </c>
      <c r="Y199" s="17"/>
      <c r="Z199" s="195" t="s">
        <v>526</v>
      </c>
      <c r="AA199" s="186"/>
      <c r="AB199" s="186"/>
      <c r="AC199" s="186"/>
      <c r="AD199" s="186"/>
      <c r="AE199" s="188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</row>
    <row r="200" spans="1:54" ht="21.75" hidden="1" customHeight="1" x14ac:dyDescent="0.3">
      <c r="A200" s="17">
        <v>36</v>
      </c>
      <c r="B200" s="17" t="s">
        <v>2257</v>
      </c>
      <c r="C200" s="17" t="s">
        <v>1856</v>
      </c>
      <c r="D200" s="17" t="s">
        <v>2258</v>
      </c>
      <c r="E200" s="17" t="s">
        <v>2263</v>
      </c>
      <c r="F200" s="17" t="s">
        <v>2264</v>
      </c>
      <c r="G200" s="82" t="s">
        <v>2265</v>
      </c>
      <c r="H200" s="17" t="s">
        <v>2266</v>
      </c>
      <c r="I200" s="26" t="s">
        <v>2267</v>
      </c>
      <c r="J200" s="17" t="s">
        <v>2268</v>
      </c>
      <c r="K200" s="17" t="s">
        <v>34</v>
      </c>
      <c r="L200" s="17">
        <v>1</v>
      </c>
      <c r="M200" s="17" t="s">
        <v>2269</v>
      </c>
      <c r="N200" s="17" t="s">
        <v>2270</v>
      </c>
      <c r="O200" s="17" t="s">
        <v>2271</v>
      </c>
      <c r="P200" s="17" t="s">
        <v>2272</v>
      </c>
      <c r="Q200" s="17"/>
      <c r="R200" s="17" t="s">
        <v>2273</v>
      </c>
      <c r="S200" s="17" t="s">
        <v>2274</v>
      </c>
      <c r="T200" s="17" t="s">
        <v>415</v>
      </c>
      <c r="U200" s="30" t="s">
        <v>522</v>
      </c>
      <c r="V200" s="17"/>
      <c r="W200" s="17"/>
      <c r="X200" s="17" t="s">
        <v>524</v>
      </c>
      <c r="Y200" s="17"/>
      <c r="Z200" s="195" t="s">
        <v>526</v>
      </c>
      <c r="AA200" s="186"/>
      <c r="AB200" s="186"/>
      <c r="AC200" s="186"/>
      <c r="AD200" s="186"/>
      <c r="AE200" s="188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</row>
    <row r="201" spans="1:54" ht="21" hidden="1" customHeight="1" x14ac:dyDescent="0.3">
      <c r="A201" s="17">
        <v>37</v>
      </c>
      <c r="B201" s="17" t="s">
        <v>2275</v>
      </c>
      <c r="C201" s="17" t="s">
        <v>1856</v>
      </c>
      <c r="D201" s="17" t="s">
        <v>2258</v>
      </c>
      <c r="E201" s="17" t="s">
        <v>2276</v>
      </c>
      <c r="F201" s="17" t="s">
        <v>2277</v>
      </c>
      <c r="G201" s="17" t="s">
        <v>388</v>
      </c>
      <c r="H201" s="17" t="s">
        <v>2278</v>
      </c>
      <c r="I201" s="26" t="s">
        <v>669</v>
      </c>
      <c r="J201" s="17" t="s">
        <v>2279</v>
      </c>
      <c r="K201" s="17" t="s">
        <v>34</v>
      </c>
      <c r="L201" s="17">
        <v>10</v>
      </c>
      <c r="M201" s="17" t="s">
        <v>2280</v>
      </c>
      <c r="N201" s="17" t="s">
        <v>672</v>
      </c>
      <c r="O201" s="17" t="s">
        <v>673</v>
      </c>
      <c r="P201" s="17" t="s">
        <v>674</v>
      </c>
      <c r="Q201" s="17"/>
      <c r="R201" s="17" t="s">
        <v>675</v>
      </c>
      <c r="S201" s="17" t="s">
        <v>676</v>
      </c>
      <c r="T201" s="17" t="s">
        <v>2281</v>
      </c>
      <c r="U201" s="30" t="s">
        <v>522</v>
      </c>
      <c r="V201" s="17"/>
      <c r="W201" s="17"/>
      <c r="X201" s="17" t="s">
        <v>2282</v>
      </c>
      <c r="Y201" s="17"/>
      <c r="Z201" s="195" t="s">
        <v>2283</v>
      </c>
      <c r="AA201" s="186"/>
      <c r="AB201" s="186"/>
      <c r="AC201" s="186"/>
      <c r="AD201" s="186"/>
      <c r="AE201" s="188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</row>
    <row r="202" spans="1:54" ht="21.75" hidden="1" customHeight="1" x14ac:dyDescent="0.3">
      <c r="A202" s="17">
        <v>38</v>
      </c>
      <c r="B202" s="17" t="s">
        <v>2284</v>
      </c>
      <c r="C202" s="17" t="s">
        <v>1856</v>
      </c>
      <c r="D202" s="17" t="s">
        <v>2258</v>
      </c>
      <c r="E202" s="17" t="s">
        <v>2285</v>
      </c>
      <c r="F202" s="17" t="s">
        <v>2286</v>
      </c>
      <c r="G202" s="17" t="s">
        <v>2287</v>
      </c>
      <c r="H202" s="17" t="s">
        <v>365</v>
      </c>
      <c r="I202" s="26" t="s">
        <v>2288</v>
      </c>
      <c r="J202" s="17" t="s">
        <v>2289</v>
      </c>
      <c r="K202" s="17" t="s">
        <v>51</v>
      </c>
      <c r="L202" s="17">
        <v>4</v>
      </c>
      <c r="M202" s="17" t="s">
        <v>1008</v>
      </c>
      <c r="N202" s="17" t="s">
        <v>2290</v>
      </c>
      <c r="O202" s="17" t="s">
        <v>2291</v>
      </c>
      <c r="P202" s="17" t="s">
        <v>2292</v>
      </c>
      <c r="Q202" s="17"/>
      <c r="R202" s="17" t="s">
        <v>2293</v>
      </c>
      <c r="S202" s="17" t="s">
        <v>2294</v>
      </c>
      <c r="T202" s="17"/>
      <c r="U202" s="30" t="s">
        <v>369</v>
      </c>
      <c r="V202" s="17"/>
      <c r="W202" s="17"/>
      <c r="X202" s="17"/>
      <c r="Y202" s="17"/>
      <c r="Z202" s="195" t="s">
        <v>2295</v>
      </c>
      <c r="AA202" s="186"/>
      <c r="AB202" s="186"/>
      <c r="AC202" s="186"/>
      <c r="AD202" s="186"/>
      <c r="AE202" s="188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</row>
    <row r="203" spans="1:54" ht="21.75" hidden="1" customHeight="1" x14ac:dyDescent="0.3">
      <c r="A203" s="17">
        <v>39</v>
      </c>
      <c r="B203" s="17" t="s">
        <v>2284</v>
      </c>
      <c r="C203" s="17" t="s">
        <v>1856</v>
      </c>
      <c r="D203" s="17" t="s">
        <v>2258</v>
      </c>
      <c r="E203" s="17" t="s">
        <v>2296</v>
      </c>
      <c r="F203" s="17" t="s">
        <v>2297</v>
      </c>
      <c r="G203" s="17" t="s">
        <v>2298</v>
      </c>
      <c r="H203" s="17" t="s">
        <v>2299</v>
      </c>
      <c r="I203" s="26" t="s">
        <v>2288</v>
      </c>
      <c r="J203" s="17" t="s">
        <v>2289</v>
      </c>
      <c r="K203" s="17" t="s">
        <v>51</v>
      </c>
      <c r="L203" s="17">
        <v>3</v>
      </c>
      <c r="M203" s="17" t="s">
        <v>2300</v>
      </c>
      <c r="N203" s="17" t="s">
        <v>2290</v>
      </c>
      <c r="O203" s="17" t="s">
        <v>2291</v>
      </c>
      <c r="P203" s="17" t="s">
        <v>2292</v>
      </c>
      <c r="Q203" s="17"/>
      <c r="R203" s="17" t="s">
        <v>2293</v>
      </c>
      <c r="S203" s="17" t="s">
        <v>2294</v>
      </c>
      <c r="T203" s="17"/>
      <c r="U203" s="30" t="s">
        <v>369</v>
      </c>
      <c r="V203" s="17"/>
      <c r="W203" s="17"/>
      <c r="X203" s="17"/>
      <c r="Y203" s="17"/>
      <c r="Z203" s="195" t="s">
        <v>2295</v>
      </c>
      <c r="AA203" s="186"/>
      <c r="AB203" s="186"/>
      <c r="AC203" s="186"/>
      <c r="AD203" s="186"/>
      <c r="AE203" s="188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</row>
    <row r="204" spans="1:54" ht="21.75" hidden="1" customHeight="1" x14ac:dyDescent="0.3">
      <c r="A204" s="17">
        <v>40</v>
      </c>
      <c r="B204" s="17" t="s">
        <v>2284</v>
      </c>
      <c r="C204" s="17" t="s">
        <v>1856</v>
      </c>
      <c r="D204" s="17" t="s">
        <v>2258</v>
      </c>
      <c r="E204" s="17" t="s">
        <v>527</v>
      </c>
      <c r="F204" s="17" t="s">
        <v>528</v>
      </c>
      <c r="G204" s="17" t="s">
        <v>373</v>
      </c>
      <c r="H204" s="17" t="s">
        <v>529</v>
      </c>
      <c r="I204" s="26" t="s">
        <v>530</v>
      </c>
      <c r="J204" s="17" t="s">
        <v>531</v>
      </c>
      <c r="K204" s="17" t="s">
        <v>34</v>
      </c>
      <c r="L204" s="17">
        <v>1</v>
      </c>
      <c r="M204" s="17" t="s">
        <v>532</v>
      </c>
      <c r="N204" s="17" t="s">
        <v>533</v>
      </c>
      <c r="O204" s="17" t="s">
        <v>2301</v>
      </c>
      <c r="P204" s="17" t="s">
        <v>535</v>
      </c>
      <c r="Q204" s="17"/>
      <c r="R204" s="17" t="s">
        <v>536</v>
      </c>
      <c r="S204" s="17" t="s">
        <v>537</v>
      </c>
      <c r="T204" s="17"/>
      <c r="U204" s="30" t="s">
        <v>522</v>
      </c>
      <c r="V204" s="17"/>
      <c r="W204" s="17"/>
      <c r="X204" s="17" t="s">
        <v>524</v>
      </c>
      <c r="Y204" s="17"/>
      <c r="Z204" s="195" t="s">
        <v>538</v>
      </c>
      <c r="AA204" s="186"/>
      <c r="AB204" s="186"/>
      <c r="AC204" s="186"/>
      <c r="AD204" s="186"/>
      <c r="AE204" s="188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</row>
    <row r="205" spans="1:54" ht="21.75" hidden="1" customHeight="1" x14ac:dyDescent="0.3">
      <c r="A205" s="17">
        <v>41</v>
      </c>
      <c r="B205" s="17" t="s">
        <v>2302</v>
      </c>
      <c r="C205" s="17" t="s">
        <v>1856</v>
      </c>
      <c r="D205" s="17" t="s">
        <v>2258</v>
      </c>
      <c r="E205" s="17" t="s">
        <v>2303</v>
      </c>
      <c r="F205" s="17" t="s">
        <v>2304</v>
      </c>
      <c r="G205" s="17" t="s">
        <v>2305</v>
      </c>
      <c r="H205" s="17" t="s">
        <v>2306</v>
      </c>
      <c r="I205" s="26" t="s">
        <v>1954</v>
      </c>
      <c r="J205" s="17" t="s">
        <v>2307</v>
      </c>
      <c r="K205" s="17" t="s">
        <v>51</v>
      </c>
      <c r="L205" s="17">
        <v>8</v>
      </c>
      <c r="M205" s="17" t="s">
        <v>2308</v>
      </c>
      <c r="N205" s="17" t="s">
        <v>2309</v>
      </c>
      <c r="O205" s="17" t="s">
        <v>2310</v>
      </c>
      <c r="P205" s="17" t="s">
        <v>2311</v>
      </c>
      <c r="Q205" s="17"/>
      <c r="R205" s="17" t="s">
        <v>2312</v>
      </c>
      <c r="S205" s="17" t="s">
        <v>2313</v>
      </c>
      <c r="T205" s="17"/>
      <c r="U205" s="30" t="s">
        <v>522</v>
      </c>
      <c r="V205" s="17"/>
      <c r="W205" s="17"/>
      <c r="X205" s="17" t="s">
        <v>2314</v>
      </c>
      <c r="Y205" s="17"/>
      <c r="Z205" s="195" t="s">
        <v>2315</v>
      </c>
      <c r="AA205" s="186"/>
      <c r="AB205" s="186"/>
      <c r="AC205" s="186"/>
      <c r="AD205" s="186"/>
      <c r="AE205" s="188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</row>
    <row r="206" spans="1:54" ht="20.25" hidden="1" customHeight="1" x14ac:dyDescent="0.3">
      <c r="A206" s="17">
        <v>42</v>
      </c>
      <c r="B206" s="17" t="s">
        <v>2316</v>
      </c>
      <c r="C206" s="17" t="s">
        <v>1856</v>
      </c>
      <c r="D206" s="17" t="s">
        <v>2258</v>
      </c>
      <c r="E206" s="17" t="s">
        <v>2317</v>
      </c>
      <c r="F206" s="17" t="s">
        <v>2318</v>
      </c>
      <c r="G206" s="17" t="s">
        <v>2319</v>
      </c>
      <c r="H206" s="17" t="s">
        <v>2320</v>
      </c>
      <c r="I206" s="26" t="s">
        <v>2321</v>
      </c>
      <c r="J206" s="17" t="s">
        <v>2322</v>
      </c>
      <c r="K206" s="17" t="s">
        <v>34</v>
      </c>
      <c r="L206" s="17">
        <v>7</v>
      </c>
      <c r="M206" s="17" t="s">
        <v>2323</v>
      </c>
      <c r="N206" s="17" t="s">
        <v>2324</v>
      </c>
      <c r="O206" s="17" t="s">
        <v>2325</v>
      </c>
      <c r="P206" s="17" t="s">
        <v>2326</v>
      </c>
      <c r="Q206" s="17"/>
      <c r="R206" s="17" t="s">
        <v>2327</v>
      </c>
      <c r="S206" s="17" t="s">
        <v>2328</v>
      </c>
      <c r="T206" s="17" t="s">
        <v>2329</v>
      </c>
      <c r="U206" s="30" t="s">
        <v>522</v>
      </c>
      <c r="V206" s="17"/>
      <c r="W206" s="17"/>
      <c r="X206" s="17"/>
      <c r="Y206" s="17"/>
      <c r="Z206" s="195" t="s">
        <v>2330</v>
      </c>
      <c r="AA206" s="186"/>
      <c r="AB206" s="186"/>
      <c r="AC206" s="186"/>
      <c r="AD206" s="186"/>
      <c r="AE206" s="188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</row>
    <row r="207" spans="1:54" ht="20.25" hidden="1" customHeight="1" x14ac:dyDescent="0.3">
      <c r="A207" s="17">
        <v>43</v>
      </c>
      <c r="B207" s="17" t="s">
        <v>2331</v>
      </c>
      <c r="C207" s="17" t="s">
        <v>1856</v>
      </c>
      <c r="D207" s="17" t="s">
        <v>2258</v>
      </c>
      <c r="E207" s="17" t="s">
        <v>2332</v>
      </c>
      <c r="F207" s="17" t="s">
        <v>2333</v>
      </c>
      <c r="G207" s="17" t="s">
        <v>2334</v>
      </c>
      <c r="H207" s="17" t="s">
        <v>2335</v>
      </c>
      <c r="I207" s="26" t="s">
        <v>430</v>
      </c>
      <c r="J207" s="17" t="s">
        <v>2336</v>
      </c>
      <c r="K207" s="17" t="s">
        <v>34</v>
      </c>
      <c r="L207" s="17">
        <v>6</v>
      </c>
      <c r="M207" s="17" t="s">
        <v>2337</v>
      </c>
      <c r="N207" s="17" t="s">
        <v>1041</v>
      </c>
      <c r="O207" s="17" t="s">
        <v>2338</v>
      </c>
      <c r="P207" s="17" t="s">
        <v>2339</v>
      </c>
      <c r="Q207" s="17"/>
      <c r="R207" s="17" t="s">
        <v>1044</v>
      </c>
      <c r="S207" s="17" t="s">
        <v>1044</v>
      </c>
      <c r="T207" s="17" t="s">
        <v>2340</v>
      </c>
      <c r="U207" s="30" t="s">
        <v>522</v>
      </c>
      <c r="V207" s="17"/>
      <c r="W207" s="17"/>
      <c r="X207" s="17" t="s">
        <v>2314</v>
      </c>
      <c r="Y207" s="17"/>
      <c r="Z207" s="195" t="s">
        <v>1048</v>
      </c>
      <c r="AA207" s="186"/>
      <c r="AB207" s="186"/>
      <c r="AC207" s="186"/>
      <c r="AD207" s="186"/>
      <c r="AE207" s="188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</row>
    <row r="208" spans="1:54" ht="20.25" hidden="1" customHeight="1" x14ac:dyDescent="0.3">
      <c r="A208" s="17">
        <v>44</v>
      </c>
      <c r="B208" s="17" t="s">
        <v>2331</v>
      </c>
      <c r="C208" s="17" t="s">
        <v>1856</v>
      </c>
      <c r="D208" s="17" t="s">
        <v>2258</v>
      </c>
      <c r="E208" s="17" t="s">
        <v>1034</v>
      </c>
      <c r="F208" s="17" t="s">
        <v>1035</v>
      </c>
      <c r="G208" s="17" t="s">
        <v>275</v>
      </c>
      <c r="H208" s="17" t="s">
        <v>1037</v>
      </c>
      <c r="I208" s="26" t="s">
        <v>430</v>
      </c>
      <c r="J208" s="17" t="s">
        <v>2336</v>
      </c>
      <c r="K208" s="17" t="s">
        <v>51</v>
      </c>
      <c r="L208" s="17">
        <v>5</v>
      </c>
      <c r="M208" s="17" t="s">
        <v>1040</v>
      </c>
      <c r="N208" s="17" t="s">
        <v>1041</v>
      </c>
      <c r="O208" s="17" t="s">
        <v>2338</v>
      </c>
      <c r="P208" s="17" t="s">
        <v>2339</v>
      </c>
      <c r="Q208" s="17"/>
      <c r="R208" s="17" t="s">
        <v>1044</v>
      </c>
      <c r="S208" s="17" t="s">
        <v>1044</v>
      </c>
      <c r="T208" s="17" t="s">
        <v>1046</v>
      </c>
      <c r="U208" s="30" t="s">
        <v>522</v>
      </c>
      <c r="V208" s="17"/>
      <c r="W208" s="17"/>
      <c r="X208" s="17" t="s">
        <v>1047</v>
      </c>
      <c r="Y208" s="17"/>
      <c r="Z208" s="195" t="s">
        <v>1048</v>
      </c>
      <c r="AA208" s="186"/>
      <c r="AB208" s="186"/>
      <c r="AC208" s="186"/>
      <c r="AD208" s="186"/>
      <c r="AE208" s="188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</row>
    <row r="209" spans="1:54" ht="20.25" hidden="1" customHeight="1" x14ac:dyDescent="0.3">
      <c r="A209" s="17">
        <v>45</v>
      </c>
      <c r="B209" s="17" t="s">
        <v>878</v>
      </c>
      <c r="C209" s="17" t="s">
        <v>1856</v>
      </c>
      <c r="D209" s="17" t="s">
        <v>2258</v>
      </c>
      <c r="E209" s="17" t="s">
        <v>638</v>
      </c>
      <c r="F209" s="17" t="s">
        <v>2341</v>
      </c>
      <c r="G209" s="17" t="s">
        <v>2342</v>
      </c>
      <c r="H209" s="17" t="s">
        <v>641</v>
      </c>
      <c r="I209" s="26" t="s">
        <v>2343</v>
      </c>
      <c r="J209" s="17" t="s">
        <v>2344</v>
      </c>
      <c r="K209" s="17" t="s">
        <v>51</v>
      </c>
      <c r="L209" s="17">
        <v>2</v>
      </c>
      <c r="M209" s="17" t="s">
        <v>644</v>
      </c>
      <c r="N209" s="17" t="s">
        <v>645</v>
      </c>
      <c r="O209" s="17" t="s">
        <v>646</v>
      </c>
      <c r="P209" s="17" t="s">
        <v>647</v>
      </c>
      <c r="Q209" s="17"/>
      <c r="R209" s="17" t="s">
        <v>648</v>
      </c>
      <c r="S209" s="17" t="s">
        <v>649</v>
      </c>
      <c r="T209" s="17"/>
      <c r="U209" s="30" t="s">
        <v>650</v>
      </c>
      <c r="V209" s="17"/>
      <c r="W209" s="17"/>
      <c r="X209" s="17" t="s">
        <v>650</v>
      </c>
      <c r="Y209" s="17"/>
      <c r="Z209" s="195" t="s">
        <v>651</v>
      </c>
      <c r="AA209" s="186"/>
      <c r="AB209" s="186"/>
      <c r="AC209" s="186"/>
      <c r="AD209" s="186"/>
      <c r="AE209" s="188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</row>
    <row r="210" spans="1:54" ht="20.25" hidden="1" customHeight="1" x14ac:dyDescent="0.3">
      <c r="A210" s="17">
        <v>46</v>
      </c>
      <c r="B210" s="17" t="s">
        <v>878</v>
      </c>
      <c r="C210" s="17" t="s">
        <v>1856</v>
      </c>
      <c r="D210" s="17" t="s">
        <v>2258</v>
      </c>
      <c r="E210" s="17" t="s">
        <v>1005</v>
      </c>
      <c r="F210" s="17" t="s">
        <v>1006</v>
      </c>
      <c r="G210" s="17" t="s">
        <v>2345</v>
      </c>
      <c r="H210" s="17" t="s">
        <v>1007</v>
      </c>
      <c r="I210" s="26" t="s">
        <v>2343</v>
      </c>
      <c r="J210" s="17" t="s">
        <v>2344</v>
      </c>
      <c r="K210" s="17" t="s">
        <v>34</v>
      </c>
      <c r="L210" s="17">
        <v>4</v>
      </c>
      <c r="M210" s="17" t="s">
        <v>1008</v>
      </c>
      <c r="N210" s="17" t="s">
        <v>645</v>
      </c>
      <c r="O210" s="17" t="s">
        <v>646</v>
      </c>
      <c r="P210" s="17" t="s">
        <v>647</v>
      </c>
      <c r="Q210" s="17"/>
      <c r="R210" s="17" t="s">
        <v>648</v>
      </c>
      <c r="S210" s="17" t="s">
        <v>649</v>
      </c>
      <c r="T210" s="17" t="s">
        <v>1009</v>
      </c>
      <c r="U210" s="30" t="s">
        <v>650</v>
      </c>
      <c r="V210" s="17"/>
      <c r="W210" s="17"/>
      <c r="X210" s="17" t="s">
        <v>650</v>
      </c>
      <c r="Y210" s="17"/>
      <c r="Z210" s="195" t="s">
        <v>651</v>
      </c>
      <c r="AA210" s="186"/>
      <c r="AB210" s="186"/>
      <c r="AC210" s="186"/>
      <c r="AD210" s="186"/>
      <c r="AE210" s="188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</row>
    <row r="211" spans="1:54" ht="20.25" hidden="1" customHeight="1" x14ac:dyDescent="0.3">
      <c r="A211" s="17">
        <v>47</v>
      </c>
      <c r="B211" s="17" t="s">
        <v>2346</v>
      </c>
      <c r="C211" s="17" t="s">
        <v>1856</v>
      </c>
      <c r="D211" s="17" t="s">
        <v>2346</v>
      </c>
      <c r="E211" s="17" t="s">
        <v>362</v>
      </c>
      <c r="F211" s="17" t="s">
        <v>363</v>
      </c>
      <c r="G211" s="17" t="s">
        <v>364</v>
      </c>
      <c r="H211" s="17" t="s">
        <v>365</v>
      </c>
      <c r="I211" s="26" t="s">
        <v>64</v>
      </c>
      <c r="J211" s="17" t="s">
        <v>2347</v>
      </c>
      <c r="K211" s="17" t="s">
        <v>51</v>
      </c>
      <c r="L211" s="17">
        <v>1</v>
      </c>
      <c r="M211" s="17" t="s">
        <v>367</v>
      </c>
      <c r="N211" s="17" t="s">
        <v>67</v>
      </c>
      <c r="O211" s="17" t="s">
        <v>68</v>
      </c>
      <c r="P211" s="17" t="s">
        <v>368</v>
      </c>
      <c r="Q211" s="17"/>
      <c r="R211" s="17" t="s">
        <v>70</v>
      </c>
      <c r="S211" s="17" t="s">
        <v>71</v>
      </c>
      <c r="T211" s="17"/>
      <c r="U211" s="30" t="s">
        <v>369</v>
      </c>
      <c r="V211" s="17"/>
      <c r="W211" s="17"/>
      <c r="X211" s="17"/>
      <c r="Y211" s="17"/>
      <c r="Z211" s="195" t="s">
        <v>370</v>
      </c>
      <c r="AA211" s="186"/>
      <c r="AB211" s="186"/>
      <c r="AC211" s="186"/>
      <c r="AD211" s="186"/>
      <c r="AE211" s="188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</row>
    <row r="212" spans="1:54" ht="20.25" hidden="1" customHeight="1" x14ac:dyDescent="0.3">
      <c r="A212" s="17">
        <v>48</v>
      </c>
      <c r="B212" s="17" t="s">
        <v>2346</v>
      </c>
      <c r="C212" s="17" t="s">
        <v>1856</v>
      </c>
      <c r="D212" s="17" t="s">
        <v>2346</v>
      </c>
      <c r="E212" s="17" t="s">
        <v>2348</v>
      </c>
      <c r="F212" s="17" t="s">
        <v>2349</v>
      </c>
      <c r="G212" s="17" t="s">
        <v>2350</v>
      </c>
      <c r="H212" s="17" t="s">
        <v>2299</v>
      </c>
      <c r="I212" s="26" t="s">
        <v>182</v>
      </c>
      <c r="J212" s="17" t="s">
        <v>2351</v>
      </c>
      <c r="K212" s="17" t="s">
        <v>51</v>
      </c>
      <c r="L212" s="17">
        <v>5</v>
      </c>
      <c r="M212" s="17" t="s">
        <v>2352</v>
      </c>
      <c r="N212" s="17" t="s">
        <v>2353</v>
      </c>
      <c r="O212" s="17" t="s">
        <v>2354</v>
      </c>
      <c r="P212" s="17" t="s">
        <v>2355</v>
      </c>
      <c r="Q212" s="17"/>
      <c r="R212" s="17" t="s">
        <v>2356</v>
      </c>
      <c r="S212" s="17" t="s">
        <v>2357</v>
      </c>
      <c r="T212" s="17" t="s">
        <v>2358</v>
      </c>
      <c r="U212" s="30" t="s">
        <v>369</v>
      </c>
      <c r="V212" s="17"/>
      <c r="W212" s="17"/>
      <c r="X212" s="17"/>
      <c r="Y212" s="17"/>
      <c r="Z212" s="195" t="s">
        <v>370</v>
      </c>
      <c r="AA212" s="186"/>
      <c r="AB212" s="186"/>
      <c r="AC212" s="186"/>
      <c r="AD212" s="186"/>
      <c r="AE212" s="188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</row>
    <row r="213" spans="1:54" ht="20.25" hidden="1" customHeight="1" x14ac:dyDescent="0.3">
      <c r="A213" s="17">
        <v>49</v>
      </c>
      <c r="B213" s="17" t="s">
        <v>2359</v>
      </c>
      <c r="C213" s="17" t="s">
        <v>1856</v>
      </c>
      <c r="D213" s="17" t="s">
        <v>2360</v>
      </c>
      <c r="E213" s="17" t="s">
        <v>2361</v>
      </c>
      <c r="F213" s="17" t="s">
        <v>2362</v>
      </c>
      <c r="G213" s="17" t="s">
        <v>2363</v>
      </c>
      <c r="H213" s="17" t="s">
        <v>2364</v>
      </c>
      <c r="I213" s="26" t="s">
        <v>247</v>
      </c>
      <c r="J213" s="17" t="s">
        <v>2365</v>
      </c>
      <c r="K213" s="17" t="s">
        <v>51</v>
      </c>
      <c r="L213" s="17">
        <v>9</v>
      </c>
      <c r="M213" s="17" t="s">
        <v>2366</v>
      </c>
      <c r="N213" s="17" t="s">
        <v>2367</v>
      </c>
      <c r="O213" s="17" t="s">
        <v>2368</v>
      </c>
      <c r="P213" s="17" t="s">
        <v>2369</v>
      </c>
      <c r="Q213" s="17"/>
      <c r="R213" s="17"/>
      <c r="S213" s="17" t="s">
        <v>2370</v>
      </c>
      <c r="T213" s="17"/>
      <c r="U213" s="30" t="s">
        <v>369</v>
      </c>
      <c r="V213" s="17"/>
      <c r="W213" s="17"/>
      <c r="X213" s="17"/>
      <c r="Y213" s="17"/>
      <c r="Z213" s="195" t="s">
        <v>2371</v>
      </c>
      <c r="AA213" s="186"/>
      <c r="AB213" s="186"/>
      <c r="AC213" s="186"/>
      <c r="AD213" s="186"/>
      <c r="AE213" s="188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</row>
    <row r="214" spans="1:54" ht="20.25" hidden="1" customHeight="1" x14ac:dyDescent="0.3">
      <c r="A214" s="17">
        <v>50</v>
      </c>
      <c r="B214" s="17" t="s">
        <v>2372</v>
      </c>
      <c r="C214" s="17" t="s">
        <v>1856</v>
      </c>
      <c r="D214" s="17" t="s">
        <v>2373</v>
      </c>
      <c r="E214" s="17" t="s">
        <v>2374</v>
      </c>
      <c r="F214" s="17" t="s">
        <v>2375</v>
      </c>
      <c r="G214" s="17" t="s">
        <v>2376</v>
      </c>
      <c r="H214" s="17" t="s">
        <v>2377</v>
      </c>
      <c r="I214" s="26" t="s">
        <v>2378</v>
      </c>
      <c r="J214" s="17" t="s">
        <v>2379</v>
      </c>
      <c r="K214" s="17" t="s">
        <v>34</v>
      </c>
      <c r="L214" s="17">
        <v>10</v>
      </c>
      <c r="M214" s="17" t="s">
        <v>2380</v>
      </c>
      <c r="N214" s="17" t="s">
        <v>2381</v>
      </c>
      <c r="O214" s="17" t="s">
        <v>2382</v>
      </c>
      <c r="P214" s="17" t="s">
        <v>2383</v>
      </c>
      <c r="Q214" s="17"/>
      <c r="R214" s="17" t="s">
        <v>2384</v>
      </c>
      <c r="S214" s="17" t="s">
        <v>2385</v>
      </c>
      <c r="T214" s="17" t="s">
        <v>2386</v>
      </c>
      <c r="U214" s="30" t="s">
        <v>369</v>
      </c>
      <c r="V214" s="17"/>
      <c r="W214" s="17"/>
      <c r="X214" s="17"/>
      <c r="Y214" s="17"/>
      <c r="Z214" s="195" t="s">
        <v>1762</v>
      </c>
      <c r="AA214" s="186"/>
      <c r="AB214" s="186"/>
      <c r="AC214" s="186"/>
      <c r="AD214" s="186"/>
      <c r="AE214" s="188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</row>
    <row r="215" spans="1:54" ht="20.25" hidden="1" customHeight="1" x14ac:dyDescent="0.3">
      <c r="A215" s="17">
        <v>51</v>
      </c>
      <c r="B215" s="17" t="s">
        <v>2372</v>
      </c>
      <c r="C215" s="17" t="s">
        <v>1856</v>
      </c>
      <c r="D215" s="17" t="s">
        <v>2373</v>
      </c>
      <c r="E215" s="17" t="s">
        <v>1750</v>
      </c>
      <c r="F215" s="17" t="s">
        <v>2387</v>
      </c>
      <c r="G215" s="17" t="s">
        <v>1752</v>
      </c>
      <c r="H215" s="17" t="s">
        <v>1753</v>
      </c>
      <c r="I215" s="26" t="s">
        <v>182</v>
      </c>
      <c r="J215" s="17" t="s">
        <v>2388</v>
      </c>
      <c r="K215" s="17" t="s">
        <v>34</v>
      </c>
      <c r="L215" s="17">
        <v>9</v>
      </c>
      <c r="M215" s="17" t="s">
        <v>1755</v>
      </c>
      <c r="N215" s="17" t="s">
        <v>1756</v>
      </c>
      <c r="O215" s="17" t="s">
        <v>1757</v>
      </c>
      <c r="P215" s="17" t="s">
        <v>1758</v>
      </c>
      <c r="Q215" s="17"/>
      <c r="R215" s="17" t="s">
        <v>1759</v>
      </c>
      <c r="S215" s="17" t="s">
        <v>1760</v>
      </c>
      <c r="T215" s="17" t="s">
        <v>2389</v>
      </c>
      <c r="U215" s="30" t="s">
        <v>369</v>
      </c>
      <c r="V215" s="17"/>
      <c r="W215" s="17"/>
      <c r="X215" s="17"/>
      <c r="Y215" s="17"/>
      <c r="Z215" s="195" t="s">
        <v>1762</v>
      </c>
      <c r="AA215" s="186"/>
      <c r="AB215" s="186"/>
      <c r="AC215" s="186"/>
      <c r="AD215" s="186"/>
      <c r="AE215" s="188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</row>
    <row r="216" spans="1:54" ht="20.25" hidden="1" customHeight="1" x14ac:dyDescent="0.3">
      <c r="A216" s="17">
        <v>52</v>
      </c>
      <c r="B216" s="17" t="s">
        <v>2372</v>
      </c>
      <c r="C216" s="17" t="s">
        <v>1856</v>
      </c>
      <c r="D216" s="17" t="s">
        <v>2373</v>
      </c>
      <c r="E216" s="17" t="s">
        <v>2390</v>
      </c>
      <c r="F216" s="17" t="s">
        <v>2391</v>
      </c>
      <c r="G216" s="17" t="s">
        <v>415</v>
      </c>
      <c r="H216" s="17" t="s">
        <v>2392</v>
      </c>
      <c r="I216" s="26" t="s">
        <v>2393</v>
      </c>
      <c r="J216" s="17" t="s">
        <v>2394</v>
      </c>
      <c r="K216" s="17" t="s">
        <v>34</v>
      </c>
      <c r="L216" s="17">
        <v>5</v>
      </c>
      <c r="M216" s="17" t="s">
        <v>2395</v>
      </c>
      <c r="N216" s="17" t="s">
        <v>2396</v>
      </c>
      <c r="O216" s="17" t="s">
        <v>2397</v>
      </c>
      <c r="P216" s="17" t="s">
        <v>2398</v>
      </c>
      <c r="Q216" s="17"/>
      <c r="R216" s="17" t="s">
        <v>2399</v>
      </c>
      <c r="S216" s="17" t="s">
        <v>2400</v>
      </c>
      <c r="T216" s="17" t="s">
        <v>2401</v>
      </c>
      <c r="U216" s="30" t="s">
        <v>369</v>
      </c>
      <c r="V216" s="17"/>
      <c r="W216" s="17"/>
      <c r="X216" s="17"/>
      <c r="Y216" s="17"/>
      <c r="Z216" s="195" t="s">
        <v>1762</v>
      </c>
      <c r="AA216" s="186"/>
      <c r="AB216" s="186"/>
      <c r="AC216" s="186"/>
      <c r="AD216" s="186"/>
      <c r="AE216" s="188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</row>
    <row r="217" spans="1:54" ht="20.25" hidden="1" customHeight="1" x14ac:dyDescent="0.3">
      <c r="A217" s="17">
        <v>53</v>
      </c>
      <c r="B217" s="17" t="s">
        <v>2402</v>
      </c>
      <c r="C217" s="17" t="s">
        <v>1856</v>
      </c>
      <c r="D217" s="17" t="s">
        <v>2373</v>
      </c>
      <c r="E217" s="17" t="s">
        <v>1268</v>
      </c>
      <c r="F217" s="17" t="s">
        <v>1269</v>
      </c>
      <c r="G217" s="17" t="s">
        <v>1270</v>
      </c>
      <c r="H217" s="17" t="s">
        <v>1271</v>
      </c>
      <c r="I217" s="26" t="s">
        <v>1272</v>
      </c>
      <c r="J217" s="17" t="s">
        <v>1273</v>
      </c>
      <c r="K217" s="17" t="s">
        <v>51</v>
      </c>
      <c r="L217" s="17">
        <v>6</v>
      </c>
      <c r="M217" s="17" t="s">
        <v>1274</v>
      </c>
      <c r="N217" s="17" t="s">
        <v>1275</v>
      </c>
      <c r="O217" s="17" t="s">
        <v>1276</v>
      </c>
      <c r="P217" s="17" t="s">
        <v>1277</v>
      </c>
      <c r="Q217" s="17"/>
      <c r="R217" s="17" t="s">
        <v>1278</v>
      </c>
      <c r="S217" s="17" t="s">
        <v>1279</v>
      </c>
      <c r="T217" s="17"/>
      <c r="U217" s="30" t="s">
        <v>369</v>
      </c>
      <c r="V217" s="17"/>
      <c r="W217" s="17"/>
      <c r="X217" s="17"/>
      <c r="Y217" s="17"/>
      <c r="Z217" s="195" t="s">
        <v>1281</v>
      </c>
      <c r="AA217" s="186"/>
      <c r="AB217" s="186"/>
      <c r="AC217" s="186"/>
      <c r="AD217" s="186"/>
      <c r="AE217" s="188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</row>
    <row r="218" spans="1:54" ht="20.25" hidden="1" customHeight="1" x14ac:dyDescent="0.3">
      <c r="A218" s="17">
        <v>54</v>
      </c>
      <c r="B218" s="17" t="s">
        <v>2403</v>
      </c>
      <c r="C218" s="17" t="s">
        <v>1856</v>
      </c>
      <c r="D218" s="17" t="s">
        <v>2373</v>
      </c>
      <c r="E218" s="17" t="s">
        <v>2404</v>
      </c>
      <c r="F218" s="17" t="s">
        <v>2405</v>
      </c>
      <c r="G218" s="17" t="s">
        <v>2406</v>
      </c>
      <c r="H218" s="17" t="s">
        <v>2407</v>
      </c>
      <c r="I218" s="26" t="s">
        <v>2161</v>
      </c>
      <c r="J218" s="17" t="s">
        <v>2408</v>
      </c>
      <c r="K218" s="17" t="s">
        <v>51</v>
      </c>
      <c r="L218" s="17">
        <v>1</v>
      </c>
      <c r="M218" s="17" t="s">
        <v>2409</v>
      </c>
      <c r="N218" s="17" t="s">
        <v>2410</v>
      </c>
      <c r="O218" s="17" t="s">
        <v>2411</v>
      </c>
      <c r="P218" s="17" t="s">
        <v>2412</v>
      </c>
      <c r="Q218" s="17"/>
      <c r="R218" s="17" t="s">
        <v>2413</v>
      </c>
      <c r="S218" s="17" t="s">
        <v>2414</v>
      </c>
      <c r="T218" s="17"/>
      <c r="U218" s="30" t="s">
        <v>2415</v>
      </c>
      <c r="V218" s="17"/>
      <c r="W218" s="17"/>
      <c r="X218" s="17"/>
      <c r="Y218" s="17"/>
      <c r="Z218" s="195" t="s">
        <v>1500</v>
      </c>
      <c r="AA218" s="186"/>
      <c r="AB218" s="186"/>
      <c r="AC218" s="186"/>
      <c r="AD218" s="186"/>
      <c r="AE218" s="188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</row>
    <row r="219" spans="1:54" ht="20.25" hidden="1" customHeight="1" x14ac:dyDescent="0.3">
      <c r="A219" s="17">
        <v>55</v>
      </c>
      <c r="B219" s="17" t="s">
        <v>2403</v>
      </c>
      <c r="C219" s="17" t="s">
        <v>1856</v>
      </c>
      <c r="D219" s="17" t="s">
        <v>2373</v>
      </c>
      <c r="E219" s="17" t="s">
        <v>1488</v>
      </c>
      <c r="F219" s="17" t="s">
        <v>2416</v>
      </c>
      <c r="G219" s="17" t="s">
        <v>2417</v>
      </c>
      <c r="H219" s="17" t="s">
        <v>1491</v>
      </c>
      <c r="I219" s="26" t="s">
        <v>1038</v>
      </c>
      <c r="J219" s="17" t="s">
        <v>1492</v>
      </c>
      <c r="K219" s="17" t="s">
        <v>51</v>
      </c>
      <c r="L219" s="17">
        <v>7</v>
      </c>
      <c r="M219" s="17" t="s">
        <v>1493</v>
      </c>
      <c r="N219" s="17" t="s">
        <v>1494</v>
      </c>
      <c r="O219" s="17" t="s">
        <v>1495</v>
      </c>
      <c r="P219" s="17" t="s">
        <v>1836</v>
      </c>
      <c r="Q219" s="17"/>
      <c r="R219" s="17" t="s">
        <v>1497</v>
      </c>
      <c r="S219" s="17" t="s">
        <v>1498</v>
      </c>
      <c r="T219" s="17"/>
      <c r="U219" s="30" t="s">
        <v>1499</v>
      </c>
      <c r="V219" s="17"/>
      <c r="W219" s="17"/>
      <c r="X219" s="17"/>
      <c r="Y219" s="17"/>
      <c r="Z219" s="195" t="s">
        <v>1500</v>
      </c>
      <c r="AA219" s="186"/>
      <c r="AB219" s="186"/>
      <c r="AC219" s="186"/>
      <c r="AD219" s="186"/>
      <c r="AE219" s="188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</row>
    <row r="220" spans="1:54" ht="20.25" hidden="1" customHeight="1" x14ac:dyDescent="0.3">
      <c r="A220" s="17">
        <v>56</v>
      </c>
      <c r="B220" s="17" t="s">
        <v>2373</v>
      </c>
      <c r="C220" s="17" t="s">
        <v>1856</v>
      </c>
      <c r="D220" s="17" t="s">
        <v>2373</v>
      </c>
      <c r="E220" s="17" t="s">
        <v>2418</v>
      </c>
      <c r="F220" s="17" t="s">
        <v>2419</v>
      </c>
      <c r="G220" s="17" t="s">
        <v>2420</v>
      </c>
      <c r="H220" s="17" t="s">
        <v>2421</v>
      </c>
      <c r="I220" s="26" t="s">
        <v>2422</v>
      </c>
      <c r="J220" s="17" t="s">
        <v>2423</v>
      </c>
      <c r="K220" s="17" t="s">
        <v>34</v>
      </c>
      <c r="L220" s="17">
        <v>10</v>
      </c>
      <c r="M220" s="17" t="s">
        <v>2424</v>
      </c>
      <c r="N220" s="17" t="s">
        <v>2425</v>
      </c>
      <c r="O220" s="17" t="s">
        <v>2426</v>
      </c>
      <c r="P220" s="17" t="s">
        <v>2427</v>
      </c>
      <c r="Q220" s="17"/>
      <c r="R220" s="17" t="s">
        <v>2428</v>
      </c>
      <c r="S220" s="17" t="s">
        <v>2429</v>
      </c>
      <c r="T220" s="17" t="s">
        <v>2430</v>
      </c>
      <c r="U220" s="30" t="s">
        <v>523</v>
      </c>
      <c r="V220" s="17"/>
      <c r="W220" s="17"/>
      <c r="X220" s="17"/>
      <c r="Y220" s="17"/>
      <c r="Z220" s="195" t="s">
        <v>2431</v>
      </c>
      <c r="AA220" s="186"/>
      <c r="AB220" s="186"/>
      <c r="AC220" s="186"/>
      <c r="AD220" s="186"/>
      <c r="AE220" s="188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</row>
    <row r="221" spans="1:54" ht="20.25" hidden="1" customHeight="1" x14ac:dyDescent="0.3">
      <c r="A221" s="17">
        <v>57</v>
      </c>
      <c r="B221" s="17" t="s">
        <v>2373</v>
      </c>
      <c r="C221" s="17" t="s">
        <v>1856</v>
      </c>
      <c r="D221" s="17" t="s">
        <v>2432</v>
      </c>
      <c r="E221" s="17" t="s">
        <v>2433</v>
      </c>
      <c r="F221" s="17" t="s">
        <v>2434</v>
      </c>
      <c r="G221" s="17" t="s">
        <v>2435</v>
      </c>
      <c r="H221" s="17" t="s">
        <v>2436</v>
      </c>
      <c r="I221" s="26" t="s">
        <v>2437</v>
      </c>
      <c r="J221" s="17" t="s">
        <v>2438</v>
      </c>
      <c r="K221" s="17" t="s">
        <v>51</v>
      </c>
      <c r="L221" s="17">
        <v>6</v>
      </c>
      <c r="M221" s="17" t="s">
        <v>2439</v>
      </c>
      <c r="N221" s="17" t="s">
        <v>2440</v>
      </c>
      <c r="O221" s="17" t="s">
        <v>2441</v>
      </c>
      <c r="P221" s="17" t="s">
        <v>2442</v>
      </c>
      <c r="Q221" s="17"/>
      <c r="R221" s="17" t="s">
        <v>2443</v>
      </c>
      <c r="S221" s="17" t="s">
        <v>2444</v>
      </c>
      <c r="T221" s="17" t="s">
        <v>2445</v>
      </c>
      <c r="U221" s="30" t="s">
        <v>2446</v>
      </c>
      <c r="V221" s="17"/>
      <c r="W221" s="17"/>
      <c r="X221" s="17"/>
      <c r="Y221" s="17"/>
      <c r="Z221" s="195" t="s">
        <v>2447</v>
      </c>
      <c r="AA221" s="186"/>
      <c r="AB221" s="186"/>
      <c r="AC221" s="186"/>
      <c r="AD221" s="186"/>
      <c r="AE221" s="188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</row>
    <row r="222" spans="1:54" ht="20.25" hidden="1" customHeight="1" x14ac:dyDescent="0.3">
      <c r="A222" s="17">
        <v>58</v>
      </c>
      <c r="B222" s="17" t="s">
        <v>2448</v>
      </c>
      <c r="C222" s="17" t="s">
        <v>1856</v>
      </c>
      <c r="D222" s="17" t="s">
        <v>2448</v>
      </c>
      <c r="E222" s="17" t="s">
        <v>2449</v>
      </c>
      <c r="F222" s="17" t="s">
        <v>2450</v>
      </c>
      <c r="G222" s="17" t="s">
        <v>2451</v>
      </c>
      <c r="H222" s="17" t="s">
        <v>2452</v>
      </c>
      <c r="I222" s="26" t="s">
        <v>130</v>
      </c>
      <c r="J222" s="17" t="s">
        <v>2453</v>
      </c>
      <c r="K222" s="17" t="s">
        <v>51</v>
      </c>
      <c r="L222" s="17">
        <v>5</v>
      </c>
      <c r="M222" s="17" t="s">
        <v>2454</v>
      </c>
      <c r="N222" s="17" t="s">
        <v>2455</v>
      </c>
      <c r="O222" s="17" t="s">
        <v>2456</v>
      </c>
      <c r="P222" s="17" t="s">
        <v>2457</v>
      </c>
      <c r="Q222" s="17"/>
      <c r="R222" s="17" t="s">
        <v>2458</v>
      </c>
      <c r="S222" s="17" t="s">
        <v>2459</v>
      </c>
      <c r="T222" s="17" t="s">
        <v>2460</v>
      </c>
      <c r="U222" s="30" t="s">
        <v>2461</v>
      </c>
      <c r="V222" s="17"/>
      <c r="W222" s="17"/>
      <c r="X222" s="17"/>
      <c r="Y222" s="17"/>
      <c r="Z222" s="195" t="s">
        <v>2462</v>
      </c>
      <c r="AA222" s="186"/>
      <c r="AB222" s="186"/>
      <c r="AC222" s="186"/>
      <c r="AD222" s="186"/>
      <c r="AE222" s="188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</row>
    <row r="223" spans="1:54" ht="20.25" hidden="1" customHeight="1" x14ac:dyDescent="0.3">
      <c r="A223" s="17">
        <v>59</v>
      </c>
      <c r="B223" s="17" t="s">
        <v>2463</v>
      </c>
      <c r="C223" s="17" t="s">
        <v>1856</v>
      </c>
      <c r="D223" s="17" t="s">
        <v>2463</v>
      </c>
      <c r="E223" s="17" t="s">
        <v>2464</v>
      </c>
      <c r="F223" s="17" t="s">
        <v>2465</v>
      </c>
      <c r="G223" s="17" t="s">
        <v>2466</v>
      </c>
      <c r="H223" s="17" t="s">
        <v>2467</v>
      </c>
      <c r="I223" s="26" t="s">
        <v>2468</v>
      </c>
      <c r="J223" s="17" t="s">
        <v>2469</v>
      </c>
      <c r="K223" s="17" t="s">
        <v>34</v>
      </c>
      <c r="L223" s="17">
        <v>5</v>
      </c>
      <c r="M223" s="17" t="s">
        <v>2470</v>
      </c>
      <c r="N223" s="17" t="s">
        <v>2471</v>
      </c>
      <c r="O223" s="17" t="s">
        <v>222</v>
      </c>
      <c r="P223" s="17" t="s">
        <v>2472</v>
      </c>
      <c r="Q223" s="17"/>
      <c r="R223" s="17" t="s">
        <v>2473</v>
      </c>
      <c r="S223" s="17" t="s">
        <v>2474</v>
      </c>
      <c r="T223" s="17"/>
      <c r="U223" s="30" t="s">
        <v>383</v>
      </c>
      <c r="V223" s="17"/>
      <c r="W223" s="17"/>
      <c r="X223" s="17"/>
      <c r="Y223" s="17"/>
      <c r="Z223" s="195" t="s">
        <v>2475</v>
      </c>
      <c r="AA223" s="186"/>
      <c r="AB223" s="186"/>
      <c r="AC223" s="186"/>
      <c r="AD223" s="186"/>
      <c r="AE223" s="188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</row>
    <row r="224" spans="1:54" ht="20.25" hidden="1" customHeight="1" x14ac:dyDescent="0.3">
      <c r="A224" s="17">
        <v>60</v>
      </c>
      <c r="B224" s="17" t="s">
        <v>2476</v>
      </c>
      <c r="C224" s="17" t="s">
        <v>1856</v>
      </c>
      <c r="D224" s="17" t="s">
        <v>2476</v>
      </c>
      <c r="E224" s="17" t="s">
        <v>371</v>
      </c>
      <c r="F224" s="17" t="s">
        <v>2477</v>
      </c>
      <c r="G224" s="17" t="s">
        <v>373</v>
      </c>
      <c r="H224" s="17" t="s">
        <v>2478</v>
      </c>
      <c r="I224" s="26" t="s">
        <v>2479</v>
      </c>
      <c r="J224" s="17" t="s">
        <v>2480</v>
      </c>
      <c r="K224" s="17" t="s">
        <v>34</v>
      </c>
      <c r="L224" s="17">
        <v>1</v>
      </c>
      <c r="M224" s="17" t="s">
        <v>377</v>
      </c>
      <c r="N224" s="17" t="s">
        <v>378</v>
      </c>
      <c r="O224" s="17" t="s">
        <v>379</v>
      </c>
      <c r="P224" s="17" t="s">
        <v>2481</v>
      </c>
      <c r="Q224" s="17"/>
      <c r="R224" s="17" t="s">
        <v>381</v>
      </c>
      <c r="S224" s="17" t="s">
        <v>382</v>
      </c>
      <c r="T224" s="17"/>
      <c r="U224" s="17" t="s">
        <v>383</v>
      </c>
      <c r="V224" s="17"/>
      <c r="W224" s="17"/>
      <c r="X224" s="17"/>
      <c r="Y224" s="17"/>
      <c r="Z224" s="195" t="s">
        <v>385</v>
      </c>
      <c r="AA224" s="186"/>
      <c r="AB224" s="186"/>
      <c r="AC224" s="186"/>
      <c r="AD224" s="186"/>
      <c r="AE224" s="188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</row>
    <row r="225" spans="1:54" ht="20.25" hidden="1" customHeight="1" x14ac:dyDescent="0.3">
      <c r="A225" s="17">
        <v>61</v>
      </c>
      <c r="B225" s="17" t="s">
        <v>2482</v>
      </c>
      <c r="C225" s="17" t="s">
        <v>1856</v>
      </c>
      <c r="D225" s="17" t="s">
        <v>2482</v>
      </c>
      <c r="E225" s="17" t="s">
        <v>2483</v>
      </c>
      <c r="F225" s="17" t="s">
        <v>2484</v>
      </c>
      <c r="G225" s="17" t="s">
        <v>2485</v>
      </c>
      <c r="H225" s="17" t="s">
        <v>2486</v>
      </c>
      <c r="I225" s="26" t="s">
        <v>1861</v>
      </c>
      <c r="J225" s="17" t="s">
        <v>2487</v>
      </c>
      <c r="K225" s="17" t="s">
        <v>34</v>
      </c>
      <c r="L225" s="17">
        <v>6</v>
      </c>
      <c r="M225" s="17" t="s">
        <v>2488</v>
      </c>
      <c r="N225" s="17" t="s">
        <v>2489</v>
      </c>
      <c r="O225" s="17" t="s">
        <v>2490</v>
      </c>
      <c r="P225" s="17" t="s">
        <v>2491</v>
      </c>
      <c r="Q225" s="17"/>
      <c r="R225" s="17" t="s">
        <v>2492</v>
      </c>
      <c r="S225" s="17" t="s">
        <v>2493</v>
      </c>
      <c r="T225" s="17" t="s">
        <v>2494</v>
      </c>
      <c r="U225" s="30" t="s">
        <v>383</v>
      </c>
      <c r="V225" s="17"/>
      <c r="W225" s="17"/>
      <c r="X225" s="17"/>
      <c r="Y225" s="17"/>
      <c r="Z225" s="195" t="s">
        <v>2495</v>
      </c>
      <c r="AA225" s="186"/>
      <c r="AB225" s="186"/>
      <c r="AC225" s="186"/>
      <c r="AD225" s="186"/>
      <c r="AE225" s="188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</row>
    <row r="226" spans="1:54" ht="20.25" hidden="1" customHeight="1" x14ac:dyDescent="0.3">
      <c r="A226" s="17">
        <v>62</v>
      </c>
      <c r="B226" s="17" t="s">
        <v>2496</v>
      </c>
      <c r="C226" s="17" t="s">
        <v>1856</v>
      </c>
      <c r="D226" s="17" t="s">
        <v>2496</v>
      </c>
      <c r="E226" s="17" t="s">
        <v>2497</v>
      </c>
      <c r="F226" s="17" t="s">
        <v>2498</v>
      </c>
      <c r="G226" s="17" t="s">
        <v>2499</v>
      </c>
      <c r="H226" s="17" t="s">
        <v>2500</v>
      </c>
      <c r="I226" s="26" t="s">
        <v>2501</v>
      </c>
      <c r="J226" s="17" t="s">
        <v>2502</v>
      </c>
      <c r="K226" s="17" t="s">
        <v>34</v>
      </c>
      <c r="L226" s="17">
        <v>6</v>
      </c>
      <c r="M226" s="17" t="s">
        <v>2503</v>
      </c>
      <c r="N226" s="17" t="s">
        <v>2504</v>
      </c>
      <c r="O226" s="17" t="s">
        <v>2505</v>
      </c>
      <c r="P226" s="17" t="s">
        <v>2506</v>
      </c>
      <c r="Q226" s="17"/>
      <c r="R226" s="17" t="s">
        <v>2507</v>
      </c>
      <c r="S226" s="17" t="s">
        <v>2508</v>
      </c>
      <c r="T226" s="17" t="s">
        <v>2509</v>
      </c>
      <c r="U226" s="30" t="s">
        <v>383</v>
      </c>
      <c r="V226" s="17"/>
      <c r="W226" s="17"/>
      <c r="X226" s="17"/>
      <c r="Y226" s="17"/>
      <c r="Z226" s="195" t="s">
        <v>2510</v>
      </c>
      <c r="AA226" s="186"/>
      <c r="AB226" s="186"/>
      <c r="AC226" s="186"/>
      <c r="AD226" s="186"/>
      <c r="AE226" s="188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</row>
    <row r="227" spans="1:54" ht="20.25" hidden="1" customHeight="1" x14ac:dyDescent="0.3">
      <c r="A227" s="17">
        <v>63</v>
      </c>
      <c r="B227" s="17" t="s">
        <v>2511</v>
      </c>
      <c r="C227" s="17" t="s">
        <v>1856</v>
      </c>
      <c r="D227" s="17" t="s">
        <v>2511</v>
      </c>
      <c r="E227" s="17" t="s">
        <v>2512</v>
      </c>
      <c r="F227" s="17" t="s">
        <v>2513</v>
      </c>
      <c r="G227" s="17" t="s">
        <v>2514</v>
      </c>
      <c r="H227" s="17" t="s">
        <v>2515</v>
      </c>
      <c r="I227" s="26" t="s">
        <v>1038</v>
      </c>
      <c r="J227" s="17" t="s">
        <v>2516</v>
      </c>
      <c r="K227" s="17" t="s">
        <v>34</v>
      </c>
      <c r="L227" s="17">
        <v>5</v>
      </c>
      <c r="M227" s="17" t="s">
        <v>2517</v>
      </c>
      <c r="N227" s="17" t="s">
        <v>2518</v>
      </c>
      <c r="O227" s="17" t="s">
        <v>1923</v>
      </c>
      <c r="P227" s="17" t="s">
        <v>2519</v>
      </c>
      <c r="Q227" s="17"/>
      <c r="R227" s="17" t="s">
        <v>2520</v>
      </c>
      <c r="S227" s="17" t="s">
        <v>2521</v>
      </c>
      <c r="T227" s="17"/>
      <c r="U227" s="30"/>
      <c r="V227" s="17"/>
      <c r="W227" s="17"/>
      <c r="X227" s="17"/>
      <c r="Y227" s="17"/>
      <c r="Z227" s="195" t="s">
        <v>2522</v>
      </c>
      <c r="AA227" s="186"/>
      <c r="AB227" s="186"/>
      <c r="AC227" s="186"/>
      <c r="AD227" s="186"/>
      <c r="AE227" s="188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</row>
    <row r="228" spans="1:54" ht="20.25" hidden="1" customHeight="1" x14ac:dyDescent="0.3">
      <c r="A228" s="17">
        <v>64</v>
      </c>
      <c r="B228" s="17" t="s">
        <v>2511</v>
      </c>
      <c r="C228" s="17" t="s">
        <v>1856</v>
      </c>
      <c r="D228" s="17" t="s">
        <v>2511</v>
      </c>
      <c r="E228" s="17" t="s">
        <v>2523</v>
      </c>
      <c r="F228" s="17" t="s">
        <v>2524</v>
      </c>
      <c r="G228" s="17" t="s">
        <v>2525</v>
      </c>
      <c r="H228" s="17" t="s">
        <v>2526</v>
      </c>
      <c r="I228" s="26" t="s">
        <v>1038</v>
      </c>
      <c r="J228" s="17" t="s">
        <v>2516</v>
      </c>
      <c r="K228" s="17" t="s">
        <v>51</v>
      </c>
      <c r="L228" s="17">
        <v>1</v>
      </c>
      <c r="M228" s="17" t="s">
        <v>2527</v>
      </c>
      <c r="N228" s="17" t="s">
        <v>2518</v>
      </c>
      <c r="O228" s="17" t="s">
        <v>1923</v>
      </c>
      <c r="P228" s="17" t="s">
        <v>2519</v>
      </c>
      <c r="Q228" s="17"/>
      <c r="R228" s="17" t="s">
        <v>2520</v>
      </c>
      <c r="S228" s="17" t="s">
        <v>2521</v>
      </c>
      <c r="T228" s="17"/>
      <c r="U228" s="30"/>
      <c r="V228" s="17"/>
      <c r="W228" s="17"/>
      <c r="X228" s="17"/>
      <c r="Y228" s="17"/>
      <c r="Z228" s="195" t="s">
        <v>2522</v>
      </c>
      <c r="AA228" s="186"/>
      <c r="AB228" s="186"/>
      <c r="AC228" s="186"/>
      <c r="AD228" s="186"/>
      <c r="AE228" s="188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</row>
    <row r="229" spans="1:54" ht="20.25" hidden="1" customHeight="1" x14ac:dyDescent="0.3">
      <c r="A229" s="17">
        <v>65</v>
      </c>
      <c r="B229" s="17" t="s">
        <v>2528</v>
      </c>
      <c r="C229" s="17" t="s">
        <v>1856</v>
      </c>
      <c r="D229" s="17" t="s">
        <v>2528</v>
      </c>
      <c r="E229" s="17" t="s">
        <v>2529</v>
      </c>
      <c r="F229" s="17" t="s">
        <v>2530</v>
      </c>
      <c r="G229" s="17" t="s">
        <v>2531</v>
      </c>
      <c r="H229" s="17" t="s">
        <v>2532</v>
      </c>
      <c r="I229" s="26" t="s">
        <v>2533</v>
      </c>
      <c r="J229" s="17" t="s">
        <v>2534</v>
      </c>
      <c r="K229" s="17" t="s">
        <v>51</v>
      </c>
      <c r="L229" s="17">
        <v>6</v>
      </c>
      <c r="M229" s="17" t="s">
        <v>2535</v>
      </c>
      <c r="N229" s="17" t="s">
        <v>2536</v>
      </c>
      <c r="O229" s="17" t="s">
        <v>2537</v>
      </c>
      <c r="P229" s="17" t="s">
        <v>2538</v>
      </c>
      <c r="Q229" s="17"/>
      <c r="R229" s="17" t="s">
        <v>2539</v>
      </c>
      <c r="S229" s="17" t="s">
        <v>2540</v>
      </c>
      <c r="T229" s="17" t="s">
        <v>2541</v>
      </c>
      <c r="U229" s="30" t="s">
        <v>383</v>
      </c>
      <c r="V229" s="17"/>
      <c r="W229" s="17"/>
      <c r="X229" s="17"/>
      <c r="Y229" s="17"/>
      <c r="Z229" s="195" t="s">
        <v>2542</v>
      </c>
      <c r="AA229" s="186"/>
      <c r="AB229" s="186"/>
      <c r="AC229" s="186"/>
      <c r="AD229" s="186"/>
      <c r="AE229" s="188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</row>
    <row r="230" spans="1:54" ht="20.25" hidden="1" customHeight="1" x14ac:dyDescent="0.3">
      <c r="A230" s="17">
        <v>1</v>
      </c>
      <c r="B230" s="17" t="s">
        <v>2543</v>
      </c>
      <c r="C230" s="17" t="s">
        <v>1856</v>
      </c>
      <c r="D230" s="17"/>
      <c r="E230" s="17" t="s">
        <v>751</v>
      </c>
      <c r="F230" s="17" t="s">
        <v>752</v>
      </c>
      <c r="G230" s="17" t="s">
        <v>753</v>
      </c>
      <c r="H230" s="17"/>
      <c r="I230" s="26"/>
      <c r="J230" s="17" t="s">
        <v>444</v>
      </c>
      <c r="K230" s="17" t="s">
        <v>51</v>
      </c>
      <c r="L230" s="17">
        <v>4</v>
      </c>
      <c r="M230" s="17" t="s">
        <v>755</v>
      </c>
      <c r="N230" s="17" t="s">
        <v>446</v>
      </c>
      <c r="O230" s="17" t="s">
        <v>2544</v>
      </c>
      <c r="P230" s="17" t="s">
        <v>448</v>
      </c>
      <c r="Q230" s="17"/>
      <c r="R230" s="17" t="s">
        <v>449</v>
      </c>
      <c r="S230" s="17" t="s">
        <v>450</v>
      </c>
      <c r="T230" s="17" t="s">
        <v>449</v>
      </c>
      <c r="U230" s="30" t="s">
        <v>424</v>
      </c>
      <c r="V230" s="17"/>
      <c r="W230" s="17"/>
      <c r="X230" s="17"/>
      <c r="Y230" s="17"/>
      <c r="Z230" s="195" t="s">
        <v>451</v>
      </c>
      <c r="AA230" s="186"/>
      <c r="AB230" s="186"/>
      <c r="AC230" s="186"/>
      <c r="AD230" s="186"/>
      <c r="AE230" s="188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</row>
    <row r="231" spans="1:54" ht="20.25" hidden="1" customHeight="1" x14ac:dyDescent="0.3">
      <c r="A231" s="17">
        <v>2</v>
      </c>
      <c r="B231" s="17" t="s">
        <v>2543</v>
      </c>
      <c r="C231" s="17" t="s">
        <v>1856</v>
      </c>
      <c r="D231" s="17"/>
      <c r="E231" s="17" t="s">
        <v>439</v>
      </c>
      <c r="F231" s="17" t="s">
        <v>440</v>
      </c>
      <c r="G231" s="17" t="s">
        <v>441</v>
      </c>
      <c r="H231" s="17"/>
      <c r="I231" s="26"/>
      <c r="J231" s="17" t="s">
        <v>444</v>
      </c>
      <c r="K231" s="17" t="s">
        <v>34</v>
      </c>
      <c r="L231" s="17">
        <v>1</v>
      </c>
      <c r="M231" s="17" t="s">
        <v>445</v>
      </c>
      <c r="N231" s="17" t="s">
        <v>446</v>
      </c>
      <c r="O231" s="17" t="s">
        <v>2544</v>
      </c>
      <c r="P231" s="17" t="s">
        <v>448</v>
      </c>
      <c r="Q231" s="17"/>
      <c r="R231" s="17" t="s">
        <v>449</v>
      </c>
      <c r="S231" s="17" t="s">
        <v>450</v>
      </c>
      <c r="T231" s="17"/>
      <c r="U231" s="30" t="s">
        <v>424</v>
      </c>
      <c r="V231" s="17"/>
      <c r="W231" s="17"/>
      <c r="X231" s="17"/>
      <c r="Y231" s="17"/>
      <c r="Z231" s="195" t="s">
        <v>451</v>
      </c>
      <c r="AA231" s="186"/>
      <c r="AB231" s="186"/>
      <c r="AC231" s="186"/>
      <c r="AD231" s="186"/>
      <c r="AE231" s="188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</row>
    <row r="232" spans="1:54" ht="20.25" hidden="1" customHeight="1" x14ac:dyDescent="0.3">
      <c r="A232" s="17">
        <v>3</v>
      </c>
      <c r="B232" s="17"/>
      <c r="C232" s="17" t="s">
        <v>1856</v>
      </c>
      <c r="D232" s="17"/>
      <c r="E232" s="17" t="s">
        <v>567</v>
      </c>
      <c r="F232" s="17" t="s">
        <v>568</v>
      </c>
      <c r="G232" s="17" t="s">
        <v>2545</v>
      </c>
      <c r="H232" s="17"/>
      <c r="I232" s="26"/>
      <c r="J232" s="17" t="s">
        <v>2546</v>
      </c>
      <c r="K232" s="17" t="s">
        <v>34</v>
      </c>
      <c r="L232" s="17">
        <v>2</v>
      </c>
      <c r="M232" s="17"/>
      <c r="N232" s="17" t="s">
        <v>574</v>
      </c>
      <c r="O232" s="17" t="s">
        <v>575</v>
      </c>
      <c r="P232" s="17" t="s">
        <v>2547</v>
      </c>
      <c r="Q232" s="17"/>
      <c r="R232" s="17" t="s">
        <v>577</v>
      </c>
      <c r="S232" s="17" t="s">
        <v>578</v>
      </c>
      <c r="T232" s="17"/>
      <c r="U232" s="30" t="s">
        <v>424</v>
      </c>
      <c r="V232" s="17"/>
      <c r="W232" s="17"/>
      <c r="X232" s="17"/>
      <c r="Y232" s="17"/>
      <c r="Z232" s="195" t="s">
        <v>580</v>
      </c>
      <c r="AA232" s="186"/>
      <c r="AB232" s="186"/>
      <c r="AC232" s="186"/>
      <c r="AD232" s="186"/>
      <c r="AE232" s="188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</row>
    <row r="233" spans="1:54" ht="20.25" hidden="1" customHeight="1" x14ac:dyDescent="0.3">
      <c r="A233" s="17">
        <v>4</v>
      </c>
      <c r="B233" s="17" t="s">
        <v>2543</v>
      </c>
      <c r="C233" s="17" t="s">
        <v>1856</v>
      </c>
      <c r="D233" s="17"/>
      <c r="E233" s="17" t="s">
        <v>756</v>
      </c>
      <c r="F233" s="17" t="s">
        <v>757</v>
      </c>
      <c r="G233" s="17" t="s">
        <v>606</v>
      </c>
      <c r="H233" s="17"/>
      <c r="I233" s="26" t="s">
        <v>759</v>
      </c>
      <c r="J233" s="17" t="s">
        <v>1093</v>
      </c>
      <c r="K233" s="17" t="s">
        <v>51</v>
      </c>
      <c r="L233" s="17">
        <v>4</v>
      </c>
      <c r="M233" s="17" t="s">
        <v>761</v>
      </c>
      <c r="N233" s="17" t="s">
        <v>762</v>
      </c>
      <c r="O233" s="17" t="s">
        <v>763</v>
      </c>
      <c r="P233" s="17" t="s">
        <v>764</v>
      </c>
      <c r="Q233" s="17"/>
      <c r="R233" s="17" t="s">
        <v>765</v>
      </c>
      <c r="S233" s="17" t="s">
        <v>766</v>
      </c>
      <c r="T233" s="17" t="s">
        <v>2548</v>
      </c>
      <c r="U233" s="30" t="s">
        <v>424</v>
      </c>
      <c r="V233" s="17"/>
      <c r="W233" s="17"/>
      <c r="X233" s="17"/>
      <c r="Y233" s="17"/>
      <c r="Z233" s="195" t="s">
        <v>451</v>
      </c>
      <c r="AA233" s="186"/>
      <c r="AB233" s="186"/>
      <c r="AC233" s="186"/>
      <c r="AD233" s="186"/>
      <c r="AE233" s="188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</row>
    <row r="234" spans="1:54" ht="20.25" hidden="1" customHeight="1" x14ac:dyDescent="0.3">
      <c r="A234" s="17">
        <v>5</v>
      </c>
      <c r="B234" s="17" t="s">
        <v>2543</v>
      </c>
      <c r="C234" s="17" t="s">
        <v>1856</v>
      </c>
      <c r="D234" s="17"/>
      <c r="E234" s="17" t="s">
        <v>768</v>
      </c>
      <c r="F234" s="17" t="s">
        <v>2549</v>
      </c>
      <c r="G234" s="17" t="s">
        <v>2550</v>
      </c>
      <c r="H234" s="17"/>
      <c r="I234" s="26" t="s">
        <v>2551</v>
      </c>
      <c r="J234" s="17" t="s">
        <v>2552</v>
      </c>
      <c r="K234" s="17" t="s">
        <v>34</v>
      </c>
      <c r="L234" s="17">
        <v>4</v>
      </c>
      <c r="M234" s="17" t="s">
        <v>772</v>
      </c>
      <c r="N234" s="17" t="s">
        <v>2553</v>
      </c>
      <c r="O234" s="17" t="s">
        <v>173</v>
      </c>
      <c r="P234" s="17" t="s">
        <v>174</v>
      </c>
      <c r="Q234" s="17"/>
      <c r="R234" s="17" t="s">
        <v>175</v>
      </c>
      <c r="S234" s="17" t="s">
        <v>176</v>
      </c>
      <c r="T234" s="17"/>
      <c r="U234" s="30" t="s">
        <v>424</v>
      </c>
      <c r="V234" s="17"/>
      <c r="W234" s="17"/>
      <c r="X234" s="17"/>
      <c r="Y234" s="17"/>
      <c r="Z234" s="195" t="s">
        <v>773</v>
      </c>
      <c r="AA234" s="186"/>
      <c r="AB234" s="186"/>
      <c r="AC234" s="186"/>
      <c r="AD234" s="186"/>
      <c r="AE234" s="188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</row>
    <row r="235" spans="1:54" ht="20.25" hidden="1" customHeight="1" x14ac:dyDescent="0.3">
      <c r="A235" s="17">
        <v>6</v>
      </c>
      <c r="B235" s="17" t="s">
        <v>2543</v>
      </c>
      <c r="C235" s="17" t="s">
        <v>1856</v>
      </c>
      <c r="D235" s="17"/>
      <c r="E235" s="17" t="s">
        <v>2554</v>
      </c>
      <c r="F235" s="17" t="s">
        <v>2555</v>
      </c>
      <c r="G235" s="17" t="s">
        <v>2556</v>
      </c>
      <c r="H235" s="17" t="s">
        <v>2557</v>
      </c>
      <c r="I235" s="26" t="s">
        <v>233</v>
      </c>
      <c r="J235" s="17" t="s">
        <v>2558</v>
      </c>
      <c r="K235" s="17" t="s">
        <v>34</v>
      </c>
      <c r="L235" s="17">
        <v>9</v>
      </c>
      <c r="M235" s="17" t="s">
        <v>2559</v>
      </c>
      <c r="N235" s="17" t="s">
        <v>2560</v>
      </c>
      <c r="O235" s="17" t="s">
        <v>2561</v>
      </c>
      <c r="P235" s="17" t="s">
        <v>2562</v>
      </c>
      <c r="Q235" s="17"/>
      <c r="R235" s="17" t="s">
        <v>2563</v>
      </c>
      <c r="S235" s="17" t="s">
        <v>2564</v>
      </c>
      <c r="T235" s="17" t="s">
        <v>2565</v>
      </c>
      <c r="U235" s="30" t="s">
        <v>424</v>
      </c>
      <c r="V235" s="17"/>
      <c r="W235" s="17"/>
      <c r="X235" s="17"/>
      <c r="Y235" s="17"/>
      <c r="Z235" s="195" t="s">
        <v>2566</v>
      </c>
      <c r="AA235" s="186"/>
      <c r="AB235" s="186"/>
      <c r="AC235" s="186"/>
      <c r="AD235" s="186"/>
      <c r="AE235" s="188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</row>
    <row r="236" spans="1:54" ht="20.25" hidden="1" customHeight="1" x14ac:dyDescent="0.3">
      <c r="A236" s="17">
        <v>7</v>
      </c>
      <c r="B236" s="17" t="s">
        <v>2567</v>
      </c>
      <c r="C236" s="17" t="s">
        <v>1856</v>
      </c>
      <c r="D236" s="17"/>
      <c r="E236" s="17" t="s">
        <v>452</v>
      </c>
      <c r="F236" s="17" t="s">
        <v>453</v>
      </c>
      <c r="G236" s="17" t="s">
        <v>454</v>
      </c>
      <c r="H236" s="17" t="s">
        <v>455</v>
      </c>
      <c r="I236" s="26" t="s">
        <v>2568</v>
      </c>
      <c r="J236" s="17" t="s">
        <v>2569</v>
      </c>
      <c r="K236" s="17" t="s">
        <v>51</v>
      </c>
      <c r="L236" s="17">
        <v>1</v>
      </c>
      <c r="M236" s="17" t="s">
        <v>458</v>
      </c>
      <c r="N236" s="17" t="s">
        <v>459</v>
      </c>
      <c r="O236" s="17" t="s">
        <v>460</v>
      </c>
      <c r="P236" s="17" t="s">
        <v>461</v>
      </c>
      <c r="Q236" s="17"/>
      <c r="R236" s="17" t="s">
        <v>462</v>
      </c>
      <c r="S236" s="17" t="s">
        <v>463</v>
      </c>
      <c r="T236" s="17" t="s">
        <v>415</v>
      </c>
      <c r="U236" s="30" t="s">
        <v>424</v>
      </c>
      <c r="V236" s="17"/>
      <c r="W236" s="17"/>
      <c r="X236" s="17"/>
      <c r="Y236" s="17"/>
      <c r="Z236" s="195" t="s">
        <v>464</v>
      </c>
      <c r="AA236" s="186"/>
      <c r="AB236" s="186"/>
      <c r="AC236" s="186"/>
      <c r="AD236" s="186"/>
      <c r="AE236" s="188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</row>
    <row r="237" spans="1:54" ht="20.25" hidden="1" customHeight="1" x14ac:dyDescent="0.3">
      <c r="A237" s="17">
        <v>8</v>
      </c>
      <c r="B237" s="17" t="s">
        <v>1657</v>
      </c>
      <c r="C237" s="17" t="s">
        <v>1856</v>
      </c>
      <c r="D237" s="17"/>
      <c r="E237" s="17" t="s">
        <v>1645</v>
      </c>
      <c r="F237" s="17" t="s">
        <v>1646</v>
      </c>
      <c r="G237" s="17" t="s">
        <v>180</v>
      </c>
      <c r="H237" s="17" t="s">
        <v>1647</v>
      </c>
      <c r="I237" s="26"/>
      <c r="J237" s="17" t="s">
        <v>2570</v>
      </c>
      <c r="K237" s="17" t="s">
        <v>51</v>
      </c>
      <c r="L237" s="17">
        <v>9</v>
      </c>
      <c r="M237" s="17" t="s">
        <v>1650</v>
      </c>
      <c r="N237" s="17" t="s">
        <v>1651</v>
      </c>
      <c r="O237" s="17" t="s">
        <v>1652</v>
      </c>
      <c r="P237" s="17" t="s">
        <v>1653</v>
      </c>
      <c r="Q237" s="17"/>
      <c r="R237" s="17" t="s">
        <v>1654</v>
      </c>
      <c r="S237" s="17" t="s">
        <v>1655</v>
      </c>
      <c r="T237" s="17" t="s">
        <v>1656</v>
      </c>
      <c r="U237" s="30" t="s">
        <v>1657</v>
      </c>
      <c r="V237" s="17"/>
      <c r="W237" s="17"/>
      <c r="X237" s="17"/>
      <c r="Y237" s="17"/>
      <c r="Z237" s="195" t="s">
        <v>1658</v>
      </c>
      <c r="AA237" s="186"/>
      <c r="AB237" s="186"/>
      <c r="AC237" s="186"/>
      <c r="AD237" s="186"/>
      <c r="AE237" s="188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</row>
    <row r="238" spans="1:54" ht="20.25" hidden="1" customHeight="1" x14ac:dyDescent="0.3">
      <c r="A238" s="17">
        <v>9</v>
      </c>
      <c r="B238" s="17" t="s">
        <v>2571</v>
      </c>
      <c r="C238" s="83" t="s">
        <v>1856</v>
      </c>
      <c r="D238" s="83"/>
      <c r="E238" s="83" t="s">
        <v>2572</v>
      </c>
      <c r="F238" s="83" t="s">
        <v>2573</v>
      </c>
      <c r="G238" s="83"/>
      <c r="H238" s="83" t="s">
        <v>2574</v>
      </c>
      <c r="I238" s="84"/>
      <c r="J238" s="83" t="s">
        <v>2575</v>
      </c>
      <c r="K238" s="83" t="s">
        <v>51</v>
      </c>
      <c r="L238" s="83">
        <v>11</v>
      </c>
      <c r="M238" s="83" t="s">
        <v>2576</v>
      </c>
      <c r="N238" s="83" t="s">
        <v>2577</v>
      </c>
      <c r="O238" s="83" t="s">
        <v>2578</v>
      </c>
      <c r="P238" s="83" t="s">
        <v>2579</v>
      </c>
      <c r="Q238" s="83"/>
      <c r="R238" s="83" t="s">
        <v>2580</v>
      </c>
      <c r="S238" s="83" t="s">
        <v>2581</v>
      </c>
      <c r="T238" s="83" t="s">
        <v>2582</v>
      </c>
      <c r="U238" s="85" t="s">
        <v>2571</v>
      </c>
      <c r="V238" s="17"/>
      <c r="W238" s="17"/>
      <c r="X238" s="17"/>
      <c r="Y238" s="17"/>
      <c r="Z238" s="195" t="s">
        <v>2583</v>
      </c>
      <c r="AA238" s="186"/>
      <c r="AB238" s="186"/>
      <c r="AC238" s="186"/>
      <c r="AD238" s="186"/>
      <c r="AE238" s="188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</row>
    <row r="239" spans="1:54" ht="20.25" hidden="1" customHeight="1" x14ac:dyDescent="0.3">
      <c r="A239" s="17">
        <v>10</v>
      </c>
      <c r="B239" s="17" t="s">
        <v>2584</v>
      </c>
      <c r="C239" s="17" t="s">
        <v>1856</v>
      </c>
      <c r="D239" s="17"/>
      <c r="E239" s="17" t="s">
        <v>2585</v>
      </c>
      <c r="F239" s="17" t="s">
        <v>2586</v>
      </c>
      <c r="G239" s="17" t="s">
        <v>204</v>
      </c>
      <c r="H239" s="17"/>
      <c r="I239" s="26"/>
      <c r="J239" s="17" t="s">
        <v>2587</v>
      </c>
      <c r="K239" s="17" t="s">
        <v>51</v>
      </c>
      <c r="L239" s="17">
        <v>8</v>
      </c>
      <c r="M239" s="17" t="s">
        <v>2588</v>
      </c>
      <c r="N239" s="17" t="s">
        <v>2589</v>
      </c>
      <c r="O239" s="17" t="s">
        <v>2590</v>
      </c>
      <c r="P239" s="17" t="s">
        <v>2591</v>
      </c>
      <c r="Q239" s="17"/>
      <c r="R239" s="17" t="s">
        <v>2592</v>
      </c>
      <c r="S239" s="17" t="s">
        <v>2593</v>
      </c>
      <c r="T239" s="17" t="s">
        <v>2594</v>
      </c>
      <c r="U239" s="30"/>
      <c r="V239" s="17"/>
      <c r="W239" s="17"/>
      <c r="X239" s="17"/>
      <c r="Y239" s="17"/>
      <c r="Z239" s="195" t="s">
        <v>2595</v>
      </c>
      <c r="AA239" s="186"/>
      <c r="AB239" s="186"/>
      <c r="AC239" s="186"/>
      <c r="AD239" s="186"/>
      <c r="AE239" s="188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</row>
    <row r="240" spans="1:54" ht="20.25" hidden="1" customHeight="1" x14ac:dyDescent="0.3">
      <c r="A240" s="17">
        <v>11</v>
      </c>
      <c r="B240" s="17" t="s">
        <v>2584</v>
      </c>
      <c r="C240" s="17" t="s">
        <v>1856</v>
      </c>
      <c r="D240" s="17"/>
      <c r="E240" s="17" t="s">
        <v>2596</v>
      </c>
      <c r="F240" s="17" t="s">
        <v>2597</v>
      </c>
      <c r="G240" s="17" t="s">
        <v>2598</v>
      </c>
      <c r="H240" s="17"/>
      <c r="I240" s="26"/>
      <c r="J240" s="17" t="s">
        <v>2587</v>
      </c>
      <c r="K240" s="17" t="s">
        <v>51</v>
      </c>
      <c r="L240" s="17">
        <v>5</v>
      </c>
      <c r="M240" s="17" t="s">
        <v>2599</v>
      </c>
      <c r="N240" s="17" t="s">
        <v>2589</v>
      </c>
      <c r="O240" s="17" t="s">
        <v>2590</v>
      </c>
      <c r="P240" s="17" t="s">
        <v>2591</v>
      </c>
      <c r="Q240" s="17"/>
      <c r="R240" s="17" t="s">
        <v>2592</v>
      </c>
      <c r="S240" s="17" t="s">
        <v>2593</v>
      </c>
      <c r="T240" s="17" t="s">
        <v>2600</v>
      </c>
      <c r="U240" s="30"/>
      <c r="V240" s="17"/>
      <c r="W240" s="17"/>
      <c r="X240" s="17"/>
      <c r="Y240" s="17"/>
      <c r="Z240" s="195" t="s">
        <v>2595</v>
      </c>
      <c r="AA240" s="186"/>
      <c r="AB240" s="186"/>
      <c r="AC240" s="186"/>
      <c r="AD240" s="186"/>
      <c r="AE240" s="188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</row>
    <row r="241" spans="1:54" ht="20.25" hidden="1" customHeight="1" x14ac:dyDescent="0.3">
      <c r="A241" s="17">
        <v>12</v>
      </c>
      <c r="B241" s="17" t="s">
        <v>1096</v>
      </c>
      <c r="C241" s="17" t="s">
        <v>1856</v>
      </c>
      <c r="D241" s="17"/>
      <c r="E241" s="17" t="s">
        <v>1089</v>
      </c>
      <c r="F241" s="17" t="s">
        <v>1090</v>
      </c>
      <c r="G241" s="17"/>
      <c r="H241" s="17" t="s">
        <v>1092</v>
      </c>
      <c r="I241" s="26" t="s">
        <v>759</v>
      </c>
      <c r="J241" s="17" t="s">
        <v>1093</v>
      </c>
      <c r="K241" s="17" t="s">
        <v>34</v>
      </c>
      <c r="L241" s="17">
        <v>6</v>
      </c>
      <c r="M241" s="17" t="s">
        <v>2601</v>
      </c>
      <c r="N241" s="17" t="s">
        <v>762</v>
      </c>
      <c r="O241" s="17" t="s">
        <v>763</v>
      </c>
      <c r="P241" s="17" t="s">
        <v>764</v>
      </c>
      <c r="Q241" s="17"/>
      <c r="R241" s="17" t="s">
        <v>765</v>
      </c>
      <c r="S241" s="17" t="s">
        <v>766</v>
      </c>
      <c r="T241" s="17" t="s">
        <v>1095</v>
      </c>
      <c r="U241" s="30" t="s">
        <v>1096</v>
      </c>
      <c r="V241" s="17"/>
      <c r="W241" s="17"/>
      <c r="X241" s="17"/>
      <c r="Y241" s="17"/>
      <c r="Z241" s="195"/>
      <c r="AA241" s="186"/>
      <c r="AB241" s="186"/>
      <c r="AC241" s="186"/>
      <c r="AD241" s="186"/>
      <c r="AE241" s="188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</row>
    <row r="242" spans="1:54" ht="20.25" hidden="1" customHeight="1" x14ac:dyDescent="0.3">
      <c r="A242" s="17">
        <v>13</v>
      </c>
      <c r="B242" s="17" t="s">
        <v>1096</v>
      </c>
      <c r="C242" s="17" t="s">
        <v>1856</v>
      </c>
      <c r="D242" s="17"/>
      <c r="E242" s="17" t="s">
        <v>1618</v>
      </c>
      <c r="F242" s="17" t="s">
        <v>1619</v>
      </c>
      <c r="G242" s="17" t="s">
        <v>1620</v>
      </c>
      <c r="H242" s="17" t="s">
        <v>1621</v>
      </c>
      <c r="I242" s="26"/>
      <c r="J242" s="17" t="s">
        <v>2602</v>
      </c>
      <c r="K242" s="17" t="s">
        <v>51</v>
      </c>
      <c r="L242" s="17">
        <v>9</v>
      </c>
      <c r="M242" s="17" t="s">
        <v>1623</v>
      </c>
      <c r="N242" s="17" t="s">
        <v>1624</v>
      </c>
      <c r="O242" s="17" t="s">
        <v>1625</v>
      </c>
      <c r="P242" s="17" t="s">
        <v>1626</v>
      </c>
      <c r="Q242" s="17"/>
      <c r="R242" s="17" t="s">
        <v>1627</v>
      </c>
      <c r="S242" s="17" t="s">
        <v>1628</v>
      </c>
      <c r="T242" s="17" t="s">
        <v>1629</v>
      </c>
      <c r="U242" s="30" t="s">
        <v>1630</v>
      </c>
      <c r="V242" s="17"/>
      <c r="W242" s="17"/>
      <c r="X242" s="17"/>
      <c r="Y242" s="17"/>
      <c r="Z242" s="195" t="s">
        <v>1631</v>
      </c>
      <c r="AA242" s="186"/>
      <c r="AB242" s="186"/>
      <c r="AC242" s="186"/>
      <c r="AD242" s="186"/>
      <c r="AE242" s="188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</row>
    <row r="243" spans="1:54" ht="20.25" customHeight="1" x14ac:dyDescent="0.3">
      <c r="A243" s="17">
        <v>1</v>
      </c>
      <c r="B243" s="17" t="s">
        <v>2603</v>
      </c>
      <c r="C243" s="17" t="s">
        <v>1856</v>
      </c>
      <c r="D243" s="17" t="s">
        <v>2604</v>
      </c>
      <c r="E243" s="17" t="s">
        <v>774</v>
      </c>
      <c r="F243" s="17" t="s">
        <v>775</v>
      </c>
      <c r="G243" s="17"/>
      <c r="H243" s="17" t="s">
        <v>777</v>
      </c>
      <c r="I243" s="26" t="s">
        <v>778</v>
      </c>
      <c r="J243" s="17" t="s">
        <v>779</v>
      </c>
      <c r="K243" s="17" t="s">
        <v>34</v>
      </c>
      <c r="L243" s="17">
        <v>4</v>
      </c>
      <c r="M243" s="17" t="s">
        <v>780</v>
      </c>
      <c r="N243" s="17" t="s">
        <v>781</v>
      </c>
      <c r="O243" s="17" t="s">
        <v>782</v>
      </c>
      <c r="P243" s="17" t="s">
        <v>783</v>
      </c>
      <c r="Q243" s="17"/>
      <c r="R243" s="17" t="s">
        <v>784</v>
      </c>
      <c r="S243" s="17" t="s">
        <v>785</v>
      </c>
      <c r="T243" s="17" t="s">
        <v>786</v>
      </c>
      <c r="U243" s="30" t="s">
        <v>359</v>
      </c>
      <c r="V243" s="17"/>
      <c r="W243" s="17"/>
      <c r="X243" s="17"/>
      <c r="Y243" s="17"/>
      <c r="Z243" s="195" t="s">
        <v>787</v>
      </c>
      <c r="AA243" s="186"/>
      <c r="AB243" s="186"/>
      <c r="AC243" s="186"/>
      <c r="AD243" s="186"/>
      <c r="AE243" s="188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</row>
    <row r="244" spans="1:54" ht="20.25" customHeight="1" x14ac:dyDescent="0.3">
      <c r="A244" s="17">
        <v>2</v>
      </c>
      <c r="B244" s="17" t="s">
        <v>2605</v>
      </c>
      <c r="C244" s="17" t="s">
        <v>1856</v>
      </c>
      <c r="D244" s="17" t="s">
        <v>2604</v>
      </c>
      <c r="E244" s="17" t="s">
        <v>2606</v>
      </c>
      <c r="F244" s="17" t="s">
        <v>2607</v>
      </c>
      <c r="G244" s="17"/>
      <c r="H244" s="17" t="s">
        <v>2608</v>
      </c>
      <c r="I244" s="26" t="s">
        <v>1861</v>
      </c>
      <c r="J244" s="17" t="s">
        <v>2609</v>
      </c>
      <c r="K244" s="17" t="s">
        <v>51</v>
      </c>
      <c r="L244" s="17">
        <v>9</v>
      </c>
      <c r="M244" s="17" t="s">
        <v>2610</v>
      </c>
      <c r="N244" s="17" t="s">
        <v>2611</v>
      </c>
      <c r="O244" s="17" t="s">
        <v>2612</v>
      </c>
      <c r="P244" s="17" t="s">
        <v>2613</v>
      </c>
      <c r="Q244" s="17"/>
      <c r="R244" s="17" t="s">
        <v>2614</v>
      </c>
      <c r="S244" s="17" t="s">
        <v>2615</v>
      </c>
      <c r="T244" s="17" t="s">
        <v>2616</v>
      </c>
      <c r="U244" s="30" t="s">
        <v>359</v>
      </c>
      <c r="V244" s="17"/>
      <c r="W244" s="17"/>
      <c r="X244" s="17"/>
      <c r="Y244" s="17"/>
      <c r="Z244" s="195" t="s">
        <v>2617</v>
      </c>
      <c r="AA244" s="186"/>
      <c r="AB244" s="186"/>
      <c r="AC244" s="186"/>
      <c r="AD244" s="186"/>
      <c r="AE244" s="188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</row>
    <row r="245" spans="1:54" ht="20.25" customHeight="1" x14ac:dyDescent="0.3">
      <c r="A245" s="17">
        <v>3</v>
      </c>
      <c r="B245" s="17" t="s">
        <v>2618</v>
      </c>
      <c r="C245" s="17" t="s">
        <v>1856</v>
      </c>
      <c r="D245" s="17" t="s">
        <v>2604</v>
      </c>
      <c r="E245" s="17" t="s">
        <v>925</v>
      </c>
      <c r="F245" s="17" t="s">
        <v>2619</v>
      </c>
      <c r="G245" s="17"/>
      <c r="H245" s="17" t="s">
        <v>928</v>
      </c>
      <c r="I245" s="26" t="s">
        <v>2620</v>
      </c>
      <c r="J245" s="17" t="s">
        <v>2621</v>
      </c>
      <c r="K245" s="17" t="s">
        <v>34</v>
      </c>
      <c r="L245" s="17">
        <v>5</v>
      </c>
      <c r="M245" s="17" t="s">
        <v>931</v>
      </c>
      <c r="N245" s="17" t="s">
        <v>932</v>
      </c>
      <c r="O245" s="17" t="s">
        <v>933</v>
      </c>
      <c r="P245" s="17" t="s">
        <v>2622</v>
      </c>
      <c r="Q245" s="17"/>
      <c r="R245" s="17" t="s">
        <v>935</v>
      </c>
      <c r="S245" s="17" t="s">
        <v>936</v>
      </c>
      <c r="T245" s="17" t="s">
        <v>937</v>
      </c>
      <c r="U245" s="30" t="s">
        <v>359</v>
      </c>
      <c r="V245" s="17"/>
      <c r="W245" s="17"/>
      <c r="X245" s="17"/>
      <c r="Y245" s="17"/>
      <c r="Z245" s="195" t="s">
        <v>938</v>
      </c>
      <c r="AA245" s="186"/>
      <c r="AB245" s="186"/>
      <c r="AC245" s="186"/>
      <c r="AD245" s="186"/>
      <c r="AE245" s="188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</row>
    <row r="246" spans="1:54" ht="20.25" customHeight="1" x14ac:dyDescent="0.3">
      <c r="A246" s="17">
        <v>4</v>
      </c>
      <c r="B246" s="17" t="s">
        <v>2623</v>
      </c>
      <c r="C246" s="17" t="s">
        <v>1856</v>
      </c>
      <c r="D246" s="17" t="s">
        <v>2604</v>
      </c>
      <c r="E246" s="17" t="s">
        <v>2624</v>
      </c>
      <c r="F246" s="17" t="s">
        <v>2625</v>
      </c>
      <c r="G246" s="17" t="s">
        <v>1256</v>
      </c>
      <c r="H246" s="17" t="s">
        <v>2626</v>
      </c>
      <c r="I246" s="26"/>
      <c r="J246" s="17"/>
      <c r="K246" s="17" t="s">
        <v>34</v>
      </c>
      <c r="L246" s="17">
        <v>4</v>
      </c>
      <c r="M246" s="17" t="s">
        <v>2627</v>
      </c>
      <c r="N246" s="17" t="s">
        <v>2628</v>
      </c>
      <c r="O246" s="17" t="s">
        <v>2629</v>
      </c>
      <c r="P246" s="17" t="s">
        <v>2630</v>
      </c>
      <c r="Q246" s="17"/>
      <c r="R246" s="17" t="s">
        <v>2631</v>
      </c>
      <c r="S246" s="17" t="s">
        <v>2632</v>
      </c>
      <c r="T246" s="17"/>
      <c r="U246" s="30" t="s">
        <v>359</v>
      </c>
      <c r="V246" s="17"/>
      <c r="W246" s="17"/>
      <c r="X246" s="17"/>
      <c r="Y246" s="17"/>
      <c r="Z246" s="195" t="s">
        <v>2633</v>
      </c>
      <c r="AA246" s="186"/>
      <c r="AB246" s="186"/>
      <c r="AC246" s="186"/>
      <c r="AD246" s="186"/>
      <c r="AE246" s="188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</row>
    <row r="247" spans="1:54" ht="20.25" customHeight="1" x14ac:dyDescent="0.3">
      <c r="A247" s="17">
        <v>5</v>
      </c>
      <c r="B247" s="83" t="s">
        <v>2634</v>
      </c>
      <c r="C247" s="83" t="s">
        <v>1856</v>
      </c>
      <c r="D247" s="83" t="s">
        <v>2604</v>
      </c>
      <c r="E247" s="83" t="s">
        <v>2635</v>
      </c>
      <c r="F247" s="83" t="s">
        <v>2636</v>
      </c>
      <c r="G247" s="83"/>
      <c r="H247" s="83" t="s">
        <v>2637</v>
      </c>
      <c r="I247" s="84" t="s">
        <v>2638</v>
      </c>
      <c r="J247" s="83" t="s">
        <v>2639</v>
      </c>
      <c r="K247" s="83" t="s">
        <v>34</v>
      </c>
      <c r="L247" s="83">
        <v>8</v>
      </c>
      <c r="M247" s="83" t="s">
        <v>2640</v>
      </c>
      <c r="N247" s="83" t="s">
        <v>2641</v>
      </c>
      <c r="O247" s="83" t="s">
        <v>2642</v>
      </c>
      <c r="P247" s="83" t="s">
        <v>2643</v>
      </c>
      <c r="Q247" s="83"/>
      <c r="R247" s="83" t="s">
        <v>2644</v>
      </c>
      <c r="S247" s="83" t="s">
        <v>2645</v>
      </c>
      <c r="T247" s="83" t="s">
        <v>2646</v>
      </c>
      <c r="U247" s="85" t="s">
        <v>359</v>
      </c>
      <c r="V247" s="17"/>
      <c r="W247" s="17"/>
      <c r="X247" s="17"/>
      <c r="Y247" s="17"/>
      <c r="Z247" s="195" t="s">
        <v>2647</v>
      </c>
      <c r="AA247" s="186"/>
      <c r="AB247" s="186"/>
      <c r="AC247" s="186"/>
      <c r="AD247" s="186"/>
      <c r="AE247" s="188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</row>
    <row r="248" spans="1:54" ht="20.25" customHeight="1" x14ac:dyDescent="0.3">
      <c r="A248" s="17">
        <v>6</v>
      </c>
      <c r="B248" s="17" t="s">
        <v>2648</v>
      </c>
      <c r="C248" s="17" t="s">
        <v>1856</v>
      </c>
      <c r="D248" s="17" t="s">
        <v>2604</v>
      </c>
      <c r="E248" s="17" t="s">
        <v>2649</v>
      </c>
      <c r="F248" s="17" t="s">
        <v>2650</v>
      </c>
      <c r="G248" s="17"/>
      <c r="H248" s="17" t="s">
        <v>2651</v>
      </c>
      <c r="I248" s="26" t="s">
        <v>2120</v>
      </c>
      <c r="J248" s="17" t="s">
        <v>2652</v>
      </c>
      <c r="K248" s="17" t="s">
        <v>51</v>
      </c>
      <c r="L248" s="17">
        <v>7</v>
      </c>
      <c r="M248" s="17" t="s">
        <v>2653</v>
      </c>
      <c r="N248" s="17" t="s">
        <v>2654</v>
      </c>
      <c r="O248" s="17" t="s">
        <v>2655</v>
      </c>
      <c r="P248" s="17" t="s">
        <v>2656</v>
      </c>
      <c r="Q248" s="17"/>
      <c r="R248" s="17" t="s">
        <v>2657</v>
      </c>
      <c r="S248" s="17" t="s">
        <v>2658</v>
      </c>
      <c r="T248" s="17" t="s">
        <v>2659</v>
      </c>
      <c r="U248" s="30" t="s">
        <v>359</v>
      </c>
      <c r="V248" s="17"/>
      <c r="W248" s="17"/>
      <c r="X248" s="17"/>
      <c r="Y248" s="17"/>
      <c r="Z248" s="195" t="s">
        <v>2660</v>
      </c>
      <c r="AA248" s="186"/>
      <c r="AB248" s="186"/>
      <c r="AC248" s="186"/>
      <c r="AD248" s="186"/>
      <c r="AE248" s="188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</row>
    <row r="249" spans="1:54" ht="20.25" customHeight="1" x14ac:dyDescent="0.3">
      <c r="A249" s="17">
        <v>7</v>
      </c>
      <c r="B249" s="17"/>
      <c r="C249" s="17"/>
      <c r="D249" s="17"/>
      <c r="E249" s="18" t="s">
        <v>2661</v>
      </c>
      <c r="F249" s="17" t="s">
        <v>2662</v>
      </c>
      <c r="G249" s="17" t="s">
        <v>275</v>
      </c>
      <c r="H249" s="17" t="s">
        <v>2663</v>
      </c>
      <c r="I249" s="26" t="s">
        <v>1954</v>
      </c>
      <c r="J249" s="28" t="s">
        <v>2664</v>
      </c>
      <c r="K249" s="17" t="s">
        <v>51</v>
      </c>
      <c r="L249" s="70">
        <v>9</v>
      </c>
      <c r="M249" s="17" t="s">
        <v>2665</v>
      </c>
      <c r="N249" s="17" t="s">
        <v>2666</v>
      </c>
      <c r="O249" s="17" t="s">
        <v>2667</v>
      </c>
      <c r="P249" s="86" t="s">
        <v>2668</v>
      </c>
      <c r="Q249" s="17"/>
      <c r="R249" s="17" t="s">
        <v>2669</v>
      </c>
      <c r="S249" s="17" t="s">
        <v>2670</v>
      </c>
      <c r="T249" s="17" t="s">
        <v>2671</v>
      </c>
      <c r="U249" s="17" t="s">
        <v>623</v>
      </c>
      <c r="V249" s="87" t="s">
        <v>1110</v>
      </c>
      <c r="W249" s="88"/>
      <c r="X249" s="17"/>
      <c r="Y249" s="17"/>
      <c r="Z249" s="195" t="s">
        <v>1449</v>
      </c>
      <c r="AA249" s="186"/>
      <c r="AB249" s="186"/>
      <c r="AC249" s="186"/>
      <c r="AD249" s="186"/>
      <c r="AE249" s="188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</row>
    <row r="250" spans="1:54" ht="20.25" customHeight="1" x14ac:dyDescent="0.3">
      <c r="A250" s="17">
        <v>8</v>
      </c>
      <c r="B250" s="17" t="s">
        <v>2672</v>
      </c>
      <c r="C250" s="17" t="s">
        <v>1856</v>
      </c>
      <c r="D250" s="17" t="s">
        <v>2604</v>
      </c>
      <c r="E250" s="17" t="s">
        <v>2673</v>
      </c>
      <c r="F250" s="17" t="s">
        <v>2674</v>
      </c>
      <c r="G250" s="17"/>
      <c r="H250" s="17" t="s">
        <v>2675</v>
      </c>
      <c r="I250" s="26"/>
      <c r="J250" s="17" t="s">
        <v>2676</v>
      </c>
      <c r="K250" s="17" t="s">
        <v>51</v>
      </c>
      <c r="L250" s="17">
        <v>10</v>
      </c>
      <c r="M250" s="17" t="s">
        <v>2677</v>
      </c>
      <c r="N250" s="17" t="s">
        <v>2678</v>
      </c>
      <c r="O250" s="17" t="s">
        <v>2679</v>
      </c>
      <c r="P250" s="17" t="s">
        <v>2680</v>
      </c>
      <c r="Q250" s="17"/>
      <c r="R250" s="17" t="s">
        <v>2681</v>
      </c>
      <c r="S250" s="17" t="s">
        <v>2682</v>
      </c>
      <c r="T250" s="17"/>
      <c r="U250" s="30" t="s">
        <v>359</v>
      </c>
      <c r="V250" s="17"/>
      <c r="W250" s="17"/>
      <c r="X250" s="17"/>
      <c r="Y250" s="17"/>
      <c r="Z250" s="195" t="s">
        <v>2683</v>
      </c>
      <c r="AA250" s="186"/>
      <c r="AB250" s="186"/>
      <c r="AC250" s="186"/>
      <c r="AD250" s="186"/>
      <c r="AE250" s="188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</row>
    <row r="251" spans="1:54" ht="20.25" customHeight="1" x14ac:dyDescent="0.3">
      <c r="A251" s="17">
        <v>9</v>
      </c>
      <c r="B251" s="17" t="s">
        <v>2684</v>
      </c>
      <c r="C251" s="17" t="s">
        <v>1856</v>
      </c>
      <c r="D251" s="17" t="s">
        <v>2685</v>
      </c>
      <c r="E251" s="17" t="s">
        <v>347</v>
      </c>
      <c r="F251" s="17" t="s">
        <v>348</v>
      </c>
      <c r="G251" s="17" t="s">
        <v>349</v>
      </c>
      <c r="H251" s="17" t="s">
        <v>350</v>
      </c>
      <c r="I251" s="26" t="s">
        <v>351</v>
      </c>
      <c r="J251" s="17" t="s">
        <v>352</v>
      </c>
      <c r="K251" s="17" t="s">
        <v>34</v>
      </c>
      <c r="L251" s="17">
        <v>2</v>
      </c>
      <c r="M251" s="17" t="s">
        <v>353</v>
      </c>
      <c r="N251" s="17" t="s">
        <v>354</v>
      </c>
      <c r="O251" s="17" t="s">
        <v>355</v>
      </c>
      <c r="P251" s="17" t="s">
        <v>2686</v>
      </c>
      <c r="Q251" s="17"/>
      <c r="R251" s="17" t="s">
        <v>357</v>
      </c>
      <c r="S251" s="17" t="s">
        <v>358</v>
      </c>
      <c r="T251" s="17"/>
      <c r="U251" s="30" t="s">
        <v>359</v>
      </c>
      <c r="V251" s="17"/>
      <c r="W251" s="17"/>
      <c r="X251" s="17"/>
      <c r="Y251" s="17"/>
      <c r="Z251" s="195" t="s">
        <v>360</v>
      </c>
      <c r="AA251" s="186"/>
      <c r="AB251" s="186"/>
      <c r="AC251" s="186"/>
      <c r="AD251" s="186"/>
      <c r="AE251" s="188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</row>
    <row r="252" spans="1:54" ht="20.25" customHeight="1" x14ac:dyDescent="0.3">
      <c r="A252" s="17">
        <v>10</v>
      </c>
      <c r="B252" s="17" t="s">
        <v>2684</v>
      </c>
      <c r="C252" s="17" t="s">
        <v>1856</v>
      </c>
      <c r="D252" s="17" t="s">
        <v>2685</v>
      </c>
      <c r="E252" s="17" t="s">
        <v>1297</v>
      </c>
      <c r="F252" s="17" t="s">
        <v>1298</v>
      </c>
      <c r="G252" s="17" t="s">
        <v>1299</v>
      </c>
      <c r="H252" s="17" t="s">
        <v>1300</v>
      </c>
      <c r="I252" s="26" t="s">
        <v>351</v>
      </c>
      <c r="J252" s="17" t="s">
        <v>352</v>
      </c>
      <c r="K252" s="17" t="s">
        <v>34</v>
      </c>
      <c r="L252" s="17">
        <v>8</v>
      </c>
      <c r="M252" s="17" t="s">
        <v>1301</v>
      </c>
      <c r="N252" s="17" t="s">
        <v>354</v>
      </c>
      <c r="O252" s="17" t="s">
        <v>355</v>
      </c>
      <c r="P252" s="17" t="s">
        <v>2686</v>
      </c>
      <c r="Q252" s="17"/>
      <c r="R252" s="17" t="s">
        <v>357</v>
      </c>
      <c r="S252" s="17" t="s">
        <v>358</v>
      </c>
      <c r="T252" s="17"/>
      <c r="U252" s="30" t="s">
        <v>359</v>
      </c>
      <c r="V252" s="17"/>
      <c r="W252" s="17"/>
      <c r="X252" s="17"/>
      <c r="Y252" s="17"/>
      <c r="Z252" s="195" t="s">
        <v>360</v>
      </c>
      <c r="AA252" s="186"/>
      <c r="AB252" s="186"/>
      <c r="AC252" s="186"/>
      <c r="AD252" s="186"/>
      <c r="AE252" s="188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</row>
    <row r="253" spans="1:54" ht="20.25" customHeight="1" x14ac:dyDescent="0.3">
      <c r="A253" s="17">
        <v>11</v>
      </c>
      <c r="B253" s="17" t="s">
        <v>2685</v>
      </c>
      <c r="C253" s="17" t="s">
        <v>1856</v>
      </c>
      <c r="D253" s="17" t="s">
        <v>2685</v>
      </c>
      <c r="E253" s="17" t="s">
        <v>1715</v>
      </c>
      <c r="F253" s="17" t="s">
        <v>1716</v>
      </c>
      <c r="G253" s="17" t="s">
        <v>192</v>
      </c>
      <c r="H253" s="17" t="s">
        <v>1717</v>
      </c>
      <c r="I253" s="26" t="s">
        <v>1718</v>
      </c>
      <c r="J253" s="17" t="s">
        <v>1719</v>
      </c>
      <c r="K253" s="17" t="s">
        <v>51</v>
      </c>
      <c r="L253" s="17">
        <v>10</v>
      </c>
      <c r="M253" s="17" t="s">
        <v>1720</v>
      </c>
      <c r="N253" s="17" t="s">
        <v>1721</v>
      </c>
      <c r="O253" s="17" t="s">
        <v>1722</v>
      </c>
      <c r="P253" s="17" t="s">
        <v>2687</v>
      </c>
      <c r="Q253" s="17"/>
      <c r="R253" s="17" t="s">
        <v>1724</v>
      </c>
      <c r="S253" s="17" t="s">
        <v>1725</v>
      </c>
      <c r="T253" s="17"/>
      <c r="U253" s="30" t="s">
        <v>359</v>
      </c>
      <c r="V253" s="17"/>
      <c r="W253" s="17"/>
      <c r="X253" s="17"/>
      <c r="Y253" s="17"/>
      <c r="Z253" s="195" t="s">
        <v>1727</v>
      </c>
      <c r="AA253" s="186"/>
      <c r="AB253" s="186"/>
      <c r="AC253" s="186"/>
      <c r="AD253" s="186"/>
      <c r="AE253" s="188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</row>
    <row r="254" spans="1:54" ht="20.25" customHeight="1" x14ac:dyDescent="0.3">
      <c r="A254" s="17">
        <v>12</v>
      </c>
      <c r="B254" s="17" t="s">
        <v>2685</v>
      </c>
      <c r="C254" s="17" t="s">
        <v>1856</v>
      </c>
      <c r="D254" s="17" t="s">
        <v>2688</v>
      </c>
      <c r="E254" s="17" t="s">
        <v>2689</v>
      </c>
      <c r="F254" s="17" t="s">
        <v>2690</v>
      </c>
      <c r="G254" s="17" t="s">
        <v>1730</v>
      </c>
      <c r="H254" s="17" t="s">
        <v>2691</v>
      </c>
      <c r="I254" s="26" t="s">
        <v>2479</v>
      </c>
      <c r="J254" s="17" t="s">
        <v>2692</v>
      </c>
      <c r="K254" s="17" t="s">
        <v>2693</v>
      </c>
      <c r="L254" s="17">
        <v>7</v>
      </c>
      <c r="M254" s="17" t="s">
        <v>2694</v>
      </c>
      <c r="N254" s="17" t="s">
        <v>2695</v>
      </c>
      <c r="O254" s="17" t="s">
        <v>1645</v>
      </c>
      <c r="P254" s="17" t="s">
        <v>2696</v>
      </c>
      <c r="Q254" s="17"/>
      <c r="R254" s="17" t="s">
        <v>2697</v>
      </c>
      <c r="S254" s="17" t="s">
        <v>2698</v>
      </c>
      <c r="T254" s="17" t="s">
        <v>2699</v>
      </c>
      <c r="U254" s="30" t="s">
        <v>359</v>
      </c>
      <c r="V254" s="17"/>
      <c r="W254" s="17"/>
      <c r="X254" s="17"/>
      <c r="Y254" s="17"/>
      <c r="Z254" s="195" t="s">
        <v>1727</v>
      </c>
      <c r="AA254" s="186"/>
      <c r="AB254" s="186"/>
      <c r="AC254" s="186"/>
      <c r="AD254" s="186"/>
      <c r="AE254" s="188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</row>
    <row r="255" spans="1:54" ht="20.25" customHeight="1" x14ac:dyDescent="0.3">
      <c r="A255" s="17">
        <v>13</v>
      </c>
      <c r="B255" s="17" t="s">
        <v>2688</v>
      </c>
      <c r="C255" s="17" t="s">
        <v>1856</v>
      </c>
      <c r="D255" s="17" t="s">
        <v>2700</v>
      </c>
      <c r="E255" s="17" t="s">
        <v>2701</v>
      </c>
      <c r="F255" s="17" t="s">
        <v>2702</v>
      </c>
      <c r="G255" s="17" t="s">
        <v>2703</v>
      </c>
      <c r="H255" s="17" t="s">
        <v>2704</v>
      </c>
      <c r="I255" s="26" t="s">
        <v>2551</v>
      </c>
      <c r="J255" s="17" t="s">
        <v>2705</v>
      </c>
      <c r="K255" s="17" t="s">
        <v>51</v>
      </c>
      <c r="L255" s="17">
        <v>5</v>
      </c>
      <c r="M255" s="17" t="s">
        <v>2706</v>
      </c>
      <c r="N255" s="17" t="s">
        <v>2707</v>
      </c>
      <c r="O255" s="17" t="s">
        <v>2708</v>
      </c>
      <c r="P255" s="17" t="s">
        <v>2709</v>
      </c>
      <c r="Q255" s="17"/>
      <c r="R255" s="17" t="s">
        <v>2710</v>
      </c>
      <c r="S255" s="17" t="s">
        <v>2711</v>
      </c>
      <c r="T255" s="17"/>
      <c r="U255" s="30" t="s">
        <v>359</v>
      </c>
      <c r="V255" s="17"/>
      <c r="W255" s="17"/>
      <c r="X255" s="17"/>
      <c r="Y255" s="17"/>
      <c r="Z255" s="195" t="s">
        <v>2712</v>
      </c>
      <c r="AA255" s="186"/>
      <c r="AB255" s="186"/>
      <c r="AC255" s="186"/>
      <c r="AD255" s="186"/>
      <c r="AE255" s="188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</row>
    <row r="256" spans="1:54" ht="20.25" customHeight="1" x14ac:dyDescent="0.3">
      <c r="A256" s="17">
        <v>14</v>
      </c>
      <c r="B256" s="17" t="s">
        <v>2713</v>
      </c>
      <c r="C256" s="17" t="s">
        <v>1856</v>
      </c>
      <c r="D256" s="17" t="s">
        <v>2713</v>
      </c>
      <c r="E256" s="17" t="s">
        <v>2714</v>
      </c>
      <c r="F256" s="17" t="s">
        <v>2715</v>
      </c>
      <c r="G256" s="17" t="s">
        <v>2716</v>
      </c>
      <c r="H256" s="17" t="s">
        <v>2717</v>
      </c>
      <c r="I256" s="26" t="s">
        <v>2479</v>
      </c>
      <c r="J256" s="17" t="s">
        <v>2718</v>
      </c>
      <c r="K256" s="17" t="s">
        <v>2693</v>
      </c>
      <c r="L256" s="17">
        <v>6</v>
      </c>
      <c r="M256" s="17" t="s">
        <v>2719</v>
      </c>
      <c r="N256" s="17" t="s">
        <v>2720</v>
      </c>
      <c r="O256" s="17" t="s">
        <v>2721</v>
      </c>
      <c r="P256" s="17" t="s">
        <v>2722</v>
      </c>
      <c r="Q256" s="17"/>
      <c r="R256" s="17" t="s">
        <v>2723</v>
      </c>
      <c r="S256" s="17" t="s">
        <v>2724</v>
      </c>
      <c r="T256" s="17" t="s">
        <v>2725</v>
      </c>
      <c r="U256" s="30" t="s">
        <v>359</v>
      </c>
      <c r="V256" s="17"/>
      <c r="W256" s="17"/>
      <c r="X256" s="17"/>
      <c r="Y256" s="17"/>
      <c r="Z256" s="195" t="s">
        <v>2726</v>
      </c>
      <c r="AA256" s="186"/>
      <c r="AB256" s="186"/>
      <c r="AC256" s="186"/>
      <c r="AD256" s="186"/>
      <c r="AE256" s="188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</row>
    <row r="257" spans="1:54" ht="20.25" customHeight="1" x14ac:dyDescent="0.3">
      <c r="A257" s="17">
        <v>15</v>
      </c>
      <c r="B257" s="17" t="s">
        <v>2700</v>
      </c>
      <c r="C257" s="17" t="s">
        <v>1856</v>
      </c>
      <c r="D257" s="17" t="s">
        <v>2727</v>
      </c>
      <c r="E257" s="17" t="s">
        <v>2728</v>
      </c>
      <c r="F257" s="17" t="s">
        <v>2729</v>
      </c>
      <c r="G257" s="17" t="s">
        <v>2485</v>
      </c>
      <c r="H257" s="17" t="s">
        <v>2730</v>
      </c>
      <c r="I257" s="26" t="s">
        <v>2731</v>
      </c>
      <c r="J257" s="17" t="s">
        <v>2732</v>
      </c>
      <c r="K257" s="17" t="s">
        <v>34</v>
      </c>
      <c r="L257" s="17">
        <v>4</v>
      </c>
      <c r="M257" s="17" t="s">
        <v>2733</v>
      </c>
      <c r="N257" s="17" t="s">
        <v>2734</v>
      </c>
      <c r="O257" s="17" t="s">
        <v>2735</v>
      </c>
      <c r="P257" s="17" t="s">
        <v>2736</v>
      </c>
      <c r="Q257" s="17"/>
      <c r="R257" s="17" t="s">
        <v>2737</v>
      </c>
      <c r="S257" s="17" t="s">
        <v>2738</v>
      </c>
      <c r="T257" s="17" t="s">
        <v>2739</v>
      </c>
      <c r="U257" s="30" t="s">
        <v>359</v>
      </c>
      <c r="V257" s="17"/>
      <c r="W257" s="17"/>
      <c r="X257" s="17"/>
      <c r="Y257" s="17"/>
      <c r="Z257" s="195" t="s">
        <v>2740</v>
      </c>
      <c r="AA257" s="186"/>
      <c r="AB257" s="186"/>
      <c r="AC257" s="186"/>
      <c r="AD257" s="186"/>
      <c r="AE257" s="188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</row>
    <row r="258" spans="1:54" ht="20.25" customHeight="1" x14ac:dyDescent="0.3">
      <c r="A258" s="17">
        <v>16</v>
      </c>
      <c r="B258" s="17" t="s">
        <v>2700</v>
      </c>
      <c r="C258" s="17" t="s">
        <v>1856</v>
      </c>
      <c r="D258" s="17" t="s">
        <v>2727</v>
      </c>
      <c r="E258" s="17" t="s">
        <v>2741</v>
      </c>
      <c r="F258" s="17" t="s">
        <v>2742</v>
      </c>
      <c r="G258" s="17" t="s">
        <v>2743</v>
      </c>
      <c r="H258" s="17" t="s">
        <v>2744</v>
      </c>
      <c r="I258" s="26" t="s">
        <v>2731</v>
      </c>
      <c r="J258" s="17" t="s">
        <v>2732</v>
      </c>
      <c r="K258" s="17" t="s">
        <v>51</v>
      </c>
      <c r="L258" s="17">
        <v>1</v>
      </c>
      <c r="M258" s="17" t="s">
        <v>408</v>
      </c>
      <c r="N258" s="17" t="s">
        <v>2734</v>
      </c>
      <c r="O258" s="17" t="s">
        <v>2735</v>
      </c>
      <c r="P258" s="17" t="s">
        <v>2736</v>
      </c>
      <c r="Q258" s="17"/>
      <c r="R258" s="17" t="s">
        <v>2737</v>
      </c>
      <c r="S258" s="17" t="s">
        <v>2738</v>
      </c>
      <c r="T258" s="17"/>
      <c r="U258" s="30" t="s">
        <v>359</v>
      </c>
      <c r="V258" s="17"/>
      <c r="W258" s="17"/>
      <c r="X258" s="17"/>
      <c r="Y258" s="17"/>
      <c r="Z258" s="195" t="s">
        <v>2740</v>
      </c>
      <c r="AA258" s="186"/>
      <c r="AB258" s="186"/>
      <c r="AC258" s="186"/>
      <c r="AD258" s="186"/>
      <c r="AE258" s="188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</row>
    <row r="259" spans="1:54" ht="20.25" customHeight="1" x14ac:dyDescent="0.3">
      <c r="A259" s="17">
        <v>17</v>
      </c>
      <c r="B259" s="17" t="s">
        <v>2745</v>
      </c>
      <c r="C259" s="17" t="s">
        <v>1856</v>
      </c>
      <c r="D259" s="17" t="s">
        <v>2746</v>
      </c>
      <c r="E259" s="17" t="s">
        <v>1132</v>
      </c>
      <c r="F259" s="17" t="s">
        <v>2747</v>
      </c>
      <c r="G259" s="17"/>
      <c r="H259" s="17" t="s">
        <v>1135</v>
      </c>
      <c r="I259" s="26" t="s">
        <v>49</v>
      </c>
      <c r="J259" s="17" t="s">
        <v>1136</v>
      </c>
      <c r="K259" s="17" t="s">
        <v>51</v>
      </c>
      <c r="L259" s="17">
        <v>7</v>
      </c>
      <c r="M259" s="17" t="s">
        <v>1137</v>
      </c>
      <c r="N259" s="17" t="s">
        <v>1138</v>
      </c>
      <c r="O259" s="17" t="s">
        <v>1139</v>
      </c>
      <c r="P259" s="17" t="s">
        <v>1140</v>
      </c>
      <c r="Q259" s="17"/>
      <c r="R259" s="17" t="s">
        <v>1141</v>
      </c>
      <c r="S259" s="17" t="s">
        <v>1142</v>
      </c>
      <c r="T259" s="17"/>
      <c r="U259" s="30" t="s">
        <v>359</v>
      </c>
      <c r="V259" s="17"/>
      <c r="W259" s="17"/>
      <c r="X259" s="17"/>
      <c r="Y259" s="17"/>
      <c r="Z259" s="195" t="s">
        <v>1144</v>
      </c>
      <c r="AA259" s="186"/>
      <c r="AB259" s="186"/>
      <c r="AC259" s="186"/>
      <c r="AD259" s="186"/>
      <c r="AE259" s="188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</row>
    <row r="260" spans="1:54" ht="20.25" customHeight="1" x14ac:dyDescent="0.3">
      <c r="A260" s="17">
        <v>18</v>
      </c>
      <c r="B260" s="17" t="s">
        <v>2748</v>
      </c>
      <c r="C260" s="17" t="s">
        <v>1856</v>
      </c>
      <c r="D260" s="17" t="s">
        <v>2749</v>
      </c>
      <c r="E260" s="17" t="s">
        <v>2750</v>
      </c>
      <c r="F260" s="17" t="s">
        <v>2751</v>
      </c>
      <c r="G260" s="17"/>
      <c r="H260" s="17" t="s">
        <v>2752</v>
      </c>
      <c r="I260" s="26" t="s">
        <v>2551</v>
      </c>
      <c r="J260" s="17" t="s">
        <v>2753</v>
      </c>
      <c r="K260" s="17" t="s">
        <v>51</v>
      </c>
      <c r="L260" s="17">
        <v>9</v>
      </c>
      <c r="M260" s="17" t="s">
        <v>2754</v>
      </c>
      <c r="N260" s="17" t="s">
        <v>2396</v>
      </c>
      <c r="O260" s="17" t="s">
        <v>2755</v>
      </c>
      <c r="P260" s="17" t="s">
        <v>2756</v>
      </c>
      <c r="Q260" s="17"/>
      <c r="R260" s="17" t="s">
        <v>2757</v>
      </c>
      <c r="S260" s="17" t="s">
        <v>2400</v>
      </c>
      <c r="T260" s="17" t="s">
        <v>2758</v>
      </c>
      <c r="U260" s="30" t="s">
        <v>359</v>
      </c>
      <c r="V260" s="17"/>
      <c r="W260" s="17"/>
      <c r="X260" s="17"/>
      <c r="Y260" s="17"/>
      <c r="Z260" s="195" t="s">
        <v>2759</v>
      </c>
      <c r="AA260" s="186"/>
      <c r="AB260" s="186"/>
      <c r="AC260" s="186"/>
      <c r="AD260" s="186"/>
      <c r="AE260" s="188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</row>
    <row r="261" spans="1:54" ht="20.25" customHeight="1" x14ac:dyDescent="0.3">
      <c r="A261" s="17">
        <v>19</v>
      </c>
      <c r="B261" s="17" t="s">
        <v>2746</v>
      </c>
      <c r="C261" s="17" t="s">
        <v>1856</v>
      </c>
      <c r="D261" s="17"/>
      <c r="E261" s="17" t="s">
        <v>2760</v>
      </c>
      <c r="F261" s="17" t="s">
        <v>2761</v>
      </c>
      <c r="G261" s="17"/>
      <c r="H261" s="17" t="s">
        <v>2762</v>
      </c>
      <c r="I261" s="26" t="s">
        <v>2763</v>
      </c>
      <c r="J261" s="17" t="s">
        <v>2764</v>
      </c>
      <c r="K261" s="17" t="s">
        <v>51</v>
      </c>
      <c r="L261" s="17">
        <v>10</v>
      </c>
      <c r="M261" s="17" t="s">
        <v>2765</v>
      </c>
      <c r="N261" s="17" t="s">
        <v>2766</v>
      </c>
      <c r="O261" s="17" t="s">
        <v>2767</v>
      </c>
      <c r="P261" s="17" t="s">
        <v>2768</v>
      </c>
      <c r="Q261" s="17"/>
      <c r="R261" s="17" t="s">
        <v>2769</v>
      </c>
      <c r="S261" s="17" t="s">
        <v>2770</v>
      </c>
      <c r="T261" s="17" t="s">
        <v>2771</v>
      </c>
      <c r="U261" s="30" t="s">
        <v>359</v>
      </c>
      <c r="V261" s="17"/>
      <c r="W261" s="17"/>
      <c r="X261" s="17"/>
      <c r="Y261" s="17"/>
      <c r="Z261" s="195" t="s">
        <v>2772</v>
      </c>
      <c r="AA261" s="186"/>
      <c r="AB261" s="186"/>
      <c r="AC261" s="186"/>
      <c r="AD261" s="186"/>
      <c r="AE261" s="188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</row>
    <row r="262" spans="1:54" ht="20.25" customHeight="1" x14ac:dyDescent="0.3">
      <c r="A262" s="17">
        <v>20</v>
      </c>
      <c r="B262" s="17" t="s">
        <v>2773</v>
      </c>
      <c r="C262" s="17" t="s">
        <v>1856</v>
      </c>
      <c r="D262" s="17"/>
      <c r="E262" s="17" t="s">
        <v>939</v>
      </c>
      <c r="F262" s="17" t="s">
        <v>940</v>
      </c>
      <c r="G262" s="17" t="s">
        <v>941</v>
      </c>
      <c r="H262" s="17" t="s">
        <v>942</v>
      </c>
      <c r="I262" s="26" t="s">
        <v>792</v>
      </c>
      <c r="J262" s="17" t="s">
        <v>793</v>
      </c>
      <c r="K262" s="17" t="s">
        <v>51</v>
      </c>
      <c r="L262" s="17">
        <v>6</v>
      </c>
      <c r="M262" s="17" t="s">
        <v>943</v>
      </c>
      <c r="N262" s="17" t="s">
        <v>795</v>
      </c>
      <c r="O262" s="17" t="s">
        <v>796</v>
      </c>
      <c r="P262" s="89" t="s">
        <v>2774</v>
      </c>
      <c r="Q262" s="17"/>
      <c r="R262" s="17" t="s">
        <v>798</v>
      </c>
      <c r="S262" s="17" t="s">
        <v>799</v>
      </c>
      <c r="T262" s="17"/>
      <c r="U262" s="30" t="s">
        <v>359</v>
      </c>
      <c r="V262" s="17"/>
      <c r="W262" s="17"/>
      <c r="X262" s="17"/>
      <c r="Y262" s="17"/>
      <c r="Z262" s="195" t="s">
        <v>800</v>
      </c>
      <c r="AA262" s="186"/>
      <c r="AB262" s="186"/>
      <c r="AC262" s="186"/>
      <c r="AD262" s="186"/>
      <c r="AE262" s="188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</row>
    <row r="263" spans="1:54" ht="20.25" customHeight="1" x14ac:dyDescent="0.3">
      <c r="A263" s="17">
        <v>21</v>
      </c>
      <c r="B263" s="17" t="s">
        <v>2773</v>
      </c>
      <c r="C263" s="17" t="s">
        <v>1856</v>
      </c>
      <c r="D263" s="17"/>
      <c r="E263" s="17" t="s">
        <v>788</v>
      </c>
      <c r="F263" s="17" t="s">
        <v>2775</v>
      </c>
      <c r="G263" s="17" t="s">
        <v>790</v>
      </c>
      <c r="H263" s="17" t="s">
        <v>791</v>
      </c>
      <c r="I263" s="26" t="s">
        <v>792</v>
      </c>
      <c r="J263" s="17" t="s">
        <v>793</v>
      </c>
      <c r="K263" s="17" t="s">
        <v>34</v>
      </c>
      <c r="L263" s="17">
        <v>5</v>
      </c>
      <c r="M263" s="17" t="s">
        <v>794</v>
      </c>
      <c r="N263" s="17" t="s">
        <v>795</v>
      </c>
      <c r="O263" s="17" t="s">
        <v>796</v>
      </c>
      <c r="P263" s="89" t="s">
        <v>2776</v>
      </c>
      <c r="Q263" s="17"/>
      <c r="R263" s="17" t="s">
        <v>798</v>
      </c>
      <c r="S263" s="17" t="s">
        <v>799</v>
      </c>
      <c r="T263" s="17"/>
      <c r="U263" s="30" t="s">
        <v>359</v>
      </c>
      <c r="V263" s="17"/>
      <c r="W263" s="17"/>
      <c r="X263" s="17"/>
      <c r="Y263" s="17"/>
      <c r="Z263" s="195" t="s">
        <v>800</v>
      </c>
      <c r="AA263" s="186"/>
      <c r="AB263" s="186"/>
      <c r="AC263" s="186"/>
      <c r="AD263" s="186"/>
      <c r="AE263" s="188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</row>
    <row r="264" spans="1:54" ht="20.25" customHeight="1" x14ac:dyDescent="0.3">
      <c r="A264" s="17">
        <v>22</v>
      </c>
      <c r="B264" s="17" t="s">
        <v>2777</v>
      </c>
      <c r="C264" s="17"/>
      <c r="D264" s="17"/>
      <c r="E264" s="17" t="s">
        <v>1668</v>
      </c>
      <c r="F264" s="17" t="s">
        <v>1669</v>
      </c>
      <c r="G264" s="17" t="s">
        <v>734</v>
      </c>
      <c r="H264" s="17" t="s">
        <v>1670</v>
      </c>
      <c r="I264" s="26" t="s">
        <v>1479</v>
      </c>
      <c r="J264" s="17" t="s">
        <v>2778</v>
      </c>
      <c r="K264" s="17" t="s">
        <v>34</v>
      </c>
      <c r="L264" s="17">
        <v>10</v>
      </c>
      <c r="M264" s="17" t="s">
        <v>1671</v>
      </c>
      <c r="N264" s="17" t="s">
        <v>1482</v>
      </c>
      <c r="O264" s="17" t="s">
        <v>1483</v>
      </c>
      <c r="P264" s="17" t="s">
        <v>2779</v>
      </c>
      <c r="Q264" s="17"/>
      <c r="R264" s="17" t="s">
        <v>1485</v>
      </c>
      <c r="S264" s="17" t="s">
        <v>1486</v>
      </c>
      <c r="T264" s="17" t="s">
        <v>1672</v>
      </c>
      <c r="U264" s="30" t="s">
        <v>359</v>
      </c>
      <c r="V264" s="17"/>
      <c r="W264" s="17"/>
      <c r="X264" s="17"/>
      <c r="Y264" s="17"/>
      <c r="Z264" s="195" t="s">
        <v>1487</v>
      </c>
      <c r="AA264" s="186"/>
      <c r="AB264" s="186"/>
      <c r="AC264" s="186"/>
      <c r="AD264" s="186"/>
      <c r="AE264" s="188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</row>
    <row r="265" spans="1:54" ht="20.25" customHeight="1" x14ac:dyDescent="0.3">
      <c r="A265" s="17">
        <v>23</v>
      </c>
      <c r="B265" s="17" t="s">
        <v>2777</v>
      </c>
      <c r="C265" s="17"/>
      <c r="D265" s="17"/>
      <c r="E265" s="17" t="s">
        <v>1476</v>
      </c>
      <c r="F265" s="17" t="s">
        <v>1477</v>
      </c>
      <c r="G265" s="17" t="s">
        <v>854</v>
      </c>
      <c r="H265" s="17" t="s">
        <v>1478</v>
      </c>
      <c r="I265" s="26" t="s">
        <v>1479</v>
      </c>
      <c r="J265" s="17" t="s">
        <v>2778</v>
      </c>
      <c r="K265" s="17" t="s">
        <v>51</v>
      </c>
      <c r="L265" s="17">
        <v>9</v>
      </c>
      <c r="M265" s="17" t="s">
        <v>1481</v>
      </c>
      <c r="N265" s="17" t="s">
        <v>1482</v>
      </c>
      <c r="O265" s="17" t="s">
        <v>1483</v>
      </c>
      <c r="P265" s="17" t="s">
        <v>2779</v>
      </c>
      <c r="Q265" s="17"/>
      <c r="R265" s="17" t="s">
        <v>1485</v>
      </c>
      <c r="S265" s="17" t="s">
        <v>1486</v>
      </c>
      <c r="T265" s="17"/>
      <c r="U265" s="30" t="s">
        <v>359</v>
      </c>
      <c r="V265" s="17"/>
      <c r="W265" s="17"/>
      <c r="X265" s="17"/>
      <c r="Y265" s="17"/>
      <c r="Z265" s="195" t="s">
        <v>1487</v>
      </c>
      <c r="AA265" s="186"/>
      <c r="AB265" s="186"/>
      <c r="AC265" s="186"/>
      <c r="AD265" s="186"/>
      <c r="AE265" s="188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</row>
    <row r="266" spans="1:54" ht="20.25" customHeight="1" x14ac:dyDescent="0.3">
      <c r="A266" s="17">
        <v>24</v>
      </c>
      <c r="B266" s="17" t="s">
        <v>2777</v>
      </c>
      <c r="C266" s="17"/>
      <c r="D266" s="17"/>
      <c r="E266" s="17" t="s">
        <v>1118</v>
      </c>
      <c r="F266" s="17" t="s">
        <v>2780</v>
      </c>
      <c r="G266" s="17" t="s">
        <v>1120</v>
      </c>
      <c r="H266" s="17" t="s">
        <v>1121</v>
      </c>
      <c r="I266" s="26" t="s">
        <v>1122</v>
      </c>
      <c r="J266" s="17" t="s">
        <v>1663</v>
      </c>
      <c r="K266" s="17" t="s">
        <v>51</v>
      </c>
      <c r="L266" s="17">
        <v>7</v>
      </c>
      <c r="M266" s="17" t="s">
        <v>1124</v>
      </c>
      <c r="N266" s="17" t="s">
        <v>1125</v>
      </c>
      <c r="O266" s="17" t="s">
        <v>1126</v>
      </c>
      <c r="P266" s="17" t="s">
        <v>2781</v>
      </c>
      <c r="Q266" s="17"/>
      <c r="R266" s="17" t="s">
        <v>1128</v>
      </c>
      <c r="S266" s="17" t="s">
        <v>1129</v>
      </c>
      <c r="T266" s="17" t="s">
        <v>1130</v>
      </c>
      <c r="U266" s="30" t="s">
        <v>359</v>
      </c>
      <c r="V266" s="17"/>
      <c r="W266" s="17"/>
      <c r="X266" s="17"/>
      <c r="Y266" s="17"/>
      <c r="Z266" s="195" t="s">
        <v>1131</v>
      </c>
      <c r="AA266" s="186"/>
      <c r="AB266" s="186"/>
      <c r="AC266" s="186"/>
      <c r="AD266" s="186"/>
      <c r="AE266" s="188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</row>
    <row r="267" spans="1:54" ht="20.25" customHeight="1" x14ac:dyDescent="0.3">
      <c r="A267" s="17">
        <v>25</v>
      </c>
      <c r="B267" s="17" t="s">
        <v>2777</v>
      </c>
      <c r="C267" s="17"/>
      <c r="D267" s="17"/>
      <c r="E267" s="17" t="s">
        <v>1659</v>
      </c>
      <c r="F267" s="17" t="s">
        <v>1660</v>
      </c>
      <c r="G267" s="17" t="s">
        <v>1661</v>
      </c>
      <c r="H267" s="17" t="s">
        <v>1662</v>
      </c>
      <c r="I267" s="26" t="s">
        <v>1122</v>
      </c>
      <c r="J267" s="17" t="s">
        <v>1663</v>
      </c>
      <c r="K267" s="17" t="s">
        <v>34</v>
      </c>
      <c r="L267" s="17">
        <v>10</v>
      </c>
      <c r="M267" s="17" t="s">
        <v>1664</v>
      </c>
      <c r="N267" s="17" t="s">
        <v>1125</v>
      </c>
      <c r="O267" s="17" t="s">
        <v>1126</v>
      </c>
      <c r="P267" s="17" t="s">
        <v>2781</v>
      </c>
      <c r="Q267" s="17"/>
      <c r="R267" s="17" t="s">
        <v>1128</v>
      </c>
      <c r="S267" s="17" t="s">
        <v>1129</v>
      </c>
      <c r="T267" s="17" t="s">
        <v>1666</v>
      </c>
      <c r="U267" s="30" t="s">
        <v>359</v>
      </c>
      <c r="V267" s="17"/>
      <c r="W267" s="17"/>
      <c r="X267" s="17"/>
      <c r="Y267" s="17"/>
      <c r="Z267" s="195" t="s">
        <v>1667</v>
      </c>
      <c r="AA267" s="186"/>
      <c r="AB267" s="186"/>
      <c r="AC267" s="186"/>
      <c r="AD267" s="186"/>
      <c r="AE267" s="188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</row>
    <row r="268" spans="1:54" ht="20.25" customHeight="1" x14ac:dyDescent="0.3">
      <c r="A268" s="17">
        <v>26</v>
      </c>
      <c r="B268" s="17" t="s">
        <v>2782</v>
      </c>
      <c r="C268" s="17" t="s">
        <v>1856</v>
      </c>
      <c r="D268" s="17" t="s">
        <v>255</v>
      </c>
      <c r="E268" s="17" t="s">
        <v>243</v>
      </c>
      <c r="F268" s="17" t="s">
        <v>244</v>
      </c>
      <c r="G268" s="17" t="s">
        <v>245</v>
      </c>
      <c r="H268" s="17" t="s">
        <v>246</v>
      </c>
      <c r="I268" s="26" t="s">
        <v>247</v>
      </c>
      <c r="J268" s="17" t="s">
        <v>248</v>
      </c>
      <c r="K268" s="17" t="s">
        <v>34</v>
      </c>
      <c r="L268" s="17">
        <v>1</v>
      </c>
      <c r="M268" s="17" t="s">
        <v>249</v>
      </c>
      <c r="N268" s="17" t="s">
        <v>250</v>
      </c>
      <c r="O268" s="17" t="s">
        <v>251</v>
      </c>
      <c r="P268" s="17" t="s">
        <v>2783</v>
      </c>
      <c r="Q268" s="17"/>
      <c r="R268" s="17" t="s">
        <v>253</v>
      </c>
      <c r="S268" s="17" t="s">
        <v>254</v>
      </c>
      <c r="T268" s="17"/>
      <c r="U268" s="30" t="s">
        <v>255</v>
      </c>
      <c r="V268" s="17"/>
      <c r="W268" s="17"/>
      <c r="X268" s="17"/>
      <c r="Y268" s="17"/>
      <c r="Z268" s="195" t="s">
        <v>256</v>
      </c>
      <c r="AA268" s="186"/>
      <c r="AB268" s="186"/>
      <c r="AC268" s="186"/>
      <c r="AD268" s="186"/>
      <c r="AE268" s="188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</row>
    <row r="269" spans="1:54" ht="20.25" customHeight="1" x14ac:dyDescent="0.3">
      <c r="A269" s="17">
        <v>27</v>
      </c>
      <c r="B269" s="17" t="s">
        <v>2784</v>
      </c>
      <c r="C269" s="17" t="s">
        <v>1856</v>
      </c>
      <c r="D269" s="17" t="s">
        <v>2784</v>
      </c>
      <c r="E269" s="17" t="s">
        <v>2785</v>
      </c>
      <c r="F269" s="17" t="s">
        <v>2786</v>
      </c>
      <c r="G269" s="17" t="s">
        <v>2787</v>
      </c>
      <c r="H269" s="17" t="s">
        <v>2788</v>
      </c>
      <c r="I269" s="26" t="s">
        <v>2789</v>
      </c>
      <c r="J269" s="17" t="s">
        <v>2790</v>
      </c>
      <c r="K269" s="17" t="s">
        <v>34</v>
      </c>
      <c r="L269" s="17">
        <v>10</v>
      </c>
      <c r="M269" s="17" t="s">
        <v>2791</v>
      </c>
      <c r="N269" s="17" t="s">
        <v>2792</v>
      </c>
      <c r="O269" s="17" t="s">
        <v>2793</v>
      </c>
      <c r="P269" s="17" t="s">
        <v>2794</v>
      </c>
      <c r="Q269" s="17"/>
      <c r="R269" s="17" t="s">
        <v>2795</v>
      </c>
      <c r="S269" s="17" t="s">
        <v>2796</v>
      </c>
      <c r="T269" s="17" t="s">
        <v>2797</v>
      </c>
      <c r="U269" s="30" t="s">
        <v>2784</v>
      </c>
      <c r="V269" s="17"/>
      <c r="W269" s="17"/>
      <c r="X269" s="17"/>
      <c r="Y269" s="17"/>
      <c r="Z269" s="195" t="s">
        <v>2798</v>
      </c>
      <c r="AA269" s="186"/>
      <c r="AB269" s="186"/>
      <c r="AC269" s="186"/>
      <c r="AD269" s="186"/>
      <c r="AE269" s="188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</row>
    <row r="270" spans="1:54" ht="20.25" customHeight="1" x14ac:dyDescent="0.3">
      <c r="A270" s="17">
        <v>28</v>
      </c>
      <c r="B270" s="17" t="s">
        <v>2784</v>
      </c>
      <c r="C270" s="17" t="s">
        <v>1856</v>
      </c>
      <c r="D270" s="17" t="s">
        <v>2784</v>
      </c>
      <c r="E270" s="17" t="s">
        <v>2799</v>
      </c>
      <c r="F270" s="17" t="s">
        <v>2800</v>
      </c>
      <c r="G270" s="17" t="s">
        <v>2801</v>
      </c>
      <c r="H270" s="17" t="s">
        <v>2802</v>
      </c>
      <c r="I270" s="26" t="s">
        <v>2789</v>
      </c>
      <c r="J270" s="17" t="s">
        <v>2790</v>
      </c>
      <c r="K270" s="17" t="s">
        <v>34</v>
      </c>
      <c r="L270" s="17">
        <v>6</v>
      </c>
      <c r="M270" s="17" t="s">
        <v>2803</v>
      </c>
      <c r="N270" s="17" t="s">
        <v>2792</v>
      </c>
      <c r="O270" s="17" t="s">
        <v>2793</v>
      </c>
      <c r="P270" s="17" t="s">
        <v>2794</v>
      </c>
      <c r="Q270" s="17"/>
      <c r="R270" s="17" t="s">
        <v>2795</v>
      </c>
      <c r="S270" s="17" t="s">
        <v>2796</v>
      </c>
      <c r="T270" s="17" t="s">
        <v>2804</v>
      </c>
      <c r="U270" s="30" t="s">
        <v>2784</v>
      </c>
      <c r="V270" s="17"/>
      <c r="W270" s="17"/>
      <c r="X270" s="17"/>
      <c r="Y270" s="17"/>
      <c r="Z270" s="195" t="s">
        <v>2798</v>
      </c>
      <c r="AA270" s="186"/>
      <c r="AB270" s="186"/>
      <c r="AC270" s="186"/>
      <c r="AD270" s="186"/>
      <c r="AE270" s="188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</row>
    <row r="271" spans="1:54" ht="20.25" customHeight="1" x14ac:dyDescent="0.3">
      <c r="A271" s="17">
        <v>29</v>
      </c>
      <c r="B271" s="90" t="s">
        <v>2784</v>
      </c>
      <c r="C271" s="90" t="s">
        <v>1856</v>
      </c>
      <c r="D271" s="90" t="s">
        <v>2784</v>
      </c>
      <c r="E271" s="90" t="s">
        <v>2805</v>
      </c>
      <c r="F271" s="90" t="s">
        <v>2806</v>
      </c>
      <c r="G271" s="90" t="s">
        <v>2807</v>
      </c>
      <c r="H271" s="90" t="s">
        <v>2808</v>
      </c>
      <c r="I271" s="91" t="s">
        <v>2789</v>
      </c>
      <c r="J271" s="90" t="s">
        <v>2790</v>
      </c>
      <c r="K271" s="90" t="s">
        <v>51</v>
      </c>
      <c r="L271" s="90">
        <v>4</v>
      </c>
      <c r="M271" s="90" t="s">
        <v>2809</v>
      </c>
      <c r="N271" s="90" t="s">
        <v>2792</v>
      </c>
      <c r="O271" s="90" t="s">
        <v>2793</v>
      </c>
      <c r="P271" s="90" t="s">
        <v>2794</v>
      </c>
      <c r="Q271" s="90"/>
      <c r="R271" s="90" t="s">
        <v>2795</v>
      </c>
      <c r="S271" s="90" t="s">
        <v>2796</v>
      </c>
      <c r="T271" s="90"/>
      <c r="U271" s="92" t="s">
        <v>2784</v>
      </c>
      <c r="V271" s="90"/>
      <c r="W271" s="90"/>
      <c r="X271" s="90"/>
      <c r="Y271" s="90"/>
      <c r="Z271" s="197" t="s">
        <v>2798</v>
      </c>
      <c r="AA271" s="198"/>
      <c r="AB271" s="198"/>
      <c r="AC271" s="198"/>
      <c r="AD271" s="198"/>
      <c r="AE271" s="199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</row>
    <row r="272" spans="1:54" ht="20.25" customHeight="1" x14ac:dyDescent="0.3">
      <c r="A272" s="17">
        <v>30</v>
      </c>
      <c r="B272" s="87" t="s">
        <v>2810</v>
      </c>
      <c r="C272" s="87"/>
      <c r="D272" s="87" t="s">
        <v>2811</v>
      </c>
      <c r="E272" s="87" t="s">
        <v>2812</v>
      </c>
      <c r="F272" s="87" t="s">
        <v>2813</v>
      </c>
      <c r="G272" s="87" t="s">
        <v>2814</v>
      </c>
      <c r="H272" s="87" t="s">
        <v>2815</v>
      </c>
      <c r="I272" s="93" t="s">
        <v>2816</v>
      </c>
      <c r="J272" s="87" t="s">
        <v>2817</v>
      </c>
      <c r="K272" s="87" t="s">
        <v>34</v>
      </c>
      <c r="L272" s="87">
        <v>9</v>
      </c>
      <c r="M272" s="87" t="s">
        <v>2818</v>
      </c>
      <c r="N272" s="87" t="s">
        <v>2819</v>
      </c>
      <c r="O272" s="87" t="s">
        <v>2820</v>
      </c>
      <c r="P272" s="87" t="s">
        <v>2821</v>
      </c>
      <c r="Q272" s="87"/>
      <c r="R272" s="87" t="s">
        <v>2822</v>
      </c>
      <c r="S272" s="87" t="s">
        <v>2823</v>
      </c>
      <c r="T272" s="87" t="s">
        <v>2824</v>
      </c>
      <c r="U272" s="94" t="s">
        <v>2825</v>
      </c>
      <c r="V272" s="87"/>
      <c r="W272" s="87"/>
      <c r="X272" s="87"/>
      <c r="Y272" s="87"/>
      <c r="Z272" s="200" t="s">
        <v>2826</v>
      </c>
      <c r="AA272" s="193"/>
      <c r="AB272" s="193"/>
      <c r="AC272" s="193"/>
      <c r="AD272" s="193"/>
      <c r="AE272" s="194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</row>
    <row r="273" spans="1:54" ht="20.25" customHeight="1" x14ac:dyDescent="0.3">
      <c r="A273" s="17">
        <v>31</v>
      </c>
      <c r="B273" s="17" t="s">
        <v>2827</v>
      </c>
      <c r="C273" s="17" t="s">
        <v>1856</v>
      </c>
      <c r="D273" s="17"/>
      <c r="E273" s="17" t="s">
        <v>126</v>
      </c>
      <c r="F273" s="17" t="s">
        <v>127</v>
      </c>
      <c r="G273" s="17" t="s">
        <v>128</v>
      </c>
      <c r="H273" s="17" t="s">
        <v>129</v>
      </c>
      <c r="I273" s="26" t="s">
        <v>375</v>
      </c>
      <c r="J273" s="17" t="s">
        <v>2828</v>
      </c>
      <c r="K273" s="17" t="s">
        <v>51</v>
      </c>
      <c r="L273" s="17" t="s">
        <v>35</v>
      </c>
      <c r="M273" s="29" t="s">
        <v>132</v>
      </c>
      <c r="N273" s="17" t="s">
        <v>133</v>
      </c>
      <c r="O273" s="17" t="s">
        <v>134</v>
      </c>
      <c r="P273" s="17" t="s">
        <v>135</v>
      </c>
      <c r="Q273" s="17"/>
      <c r="R273" s="17" t="s">
        <v>136</v>
      </c>
      <c r="S273" s="17" t="s">
        <v>137</v>
      </c>
      <c r="T273" s="17"/>
      <c r="U273" s="54" t="s">
        <v>43</v>
      </c>
      <c r="V273" s="17"/>
      <c r="W273" s="17"/>
      <c r="X273" s="17"/>
      <c r="Y273" s="17"/>
      <c r="Z273" s="195" t="s">
        <v>138</v>
      </c>
      <c r="AA273" s="186"/>
      <c r="AB273" s="186"/>
      <c r="AC273" s="186"/>
      <c r="AD273" s="186"/>
      <c r="AE273" s="188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</row>
    <row r="274" spans="1:54" ht="20.25" customHeight="1" x14ac:dyDescent="0.3">
      <c r="A274" s="17">
        <v>32</v>
      </c>
      <c r="B274" s="17" t="s">
        <v>2829</v>
      </c>
      <c r="C274" s="17" t="s">
        <v>1856</v>
      </c>
      <c r="D274" s="17"/>
      <c r="E274" s="17" t="s">
        <v>1541</v>
      </c>
      <c r="F274" s="17" t="s">
        <v>1542</v>
      </c>
      <c r="G274" s="17"/>
      <c r="H274" s="17" t="s">
        <v>1544</v>
      </c>
      <c r="I274" s="26" t="s">
        <v>156</v>
      </c>
      <c r="J274" s="17" t="s">
        <v>2830</v>
      </c>
      <c r="K274" s="17" t="s">
        <v>34</v>
      </c>
      <c r="L274" s="17">
        <v>9</v>
      </c>
      <c r="M274" s="17" t="s">
        <v>1546</v>
      </c>
      <c r="N274" s="17"/>
      <c r="O274" s="17" t="s">
        <v>1547</v>
      </c>
      <c r="P274" s="17" t="s">
        <v>2831</v>
      </c>
      <c r="Q274" s="17"/>
      <c r="R274" s="17"/>
      <c r="S274" s="17" t="s">
        <v>1549</v>
      </c>
      <c r="T274" s="17" t="s">
        <v>1550</v>
      </c>
      <c r="U274" s="54" t="s">
        <v>43</v>
      </c>
      <c r="V274" s="17"/>
      <c r="W274" s="17"/>
      <c r="X274" s="17"/>
      <c r="Y274" s="17"/>
      <c r="Z274" s="195" t="s">
        <v>1551</v>
      </c>
      <c r="AA274" s="186"/>
      <c r="AB274" s="186"/>
      <c r="AC274" s="186"/>
      <c r="AD274" s="186"/>
      <c r="AE274" s="188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</row>
    <row r="275" spans="1:54" ht="20.25" customHeight="1" x14ac:dyDescent="0.3">
      <c r="A275" s="17">
        <v>33</v>
      </c>
      <c r="B275" s="17" t="s">
        <v>2832</v>
      </c>
      <c r="C275" s="17" t="s">
        <v>1856</v>
      </c>
      <c r="D275" s="17"/>
      <c r="E275" s="17" t="s">
        <v>139</v>
      </c>
      <c r="F275" s="17" t="s">
        <v>140</v>
      </c>
      <c r="G275" s="17" t="s">
        <v>141</v>
      </c>
      <c r="H275" s="17" t="s">
        <v>142</v>
      </c>
      <c r="I275" s="26" t="s">
        <v>143</v>
      </c>
      <c r="J275" s="17" t="s">
        <v>144</v>
      </c>
      <c r="K275" s="17" t="s">
        <v>51</v>
      </c>
      <c r="L275" s="17" t="s">
        <v>35</v>
      </c>
      <c r="M275" s="17" t="s">
        <v>145</v>
      </c>
      <c r="N275" s="17" t="s">
        <v>146</v>
      </c>
      <c r="O275" s="17" t="s">
        <v>147</v>
      </c>
      <c r="P275" s="17" t="s">
        <v>148</v>
      </c>
      <c r="Q275" s="17"/>
      <c r="R275" s="17" t="s">
        <v>149</v>
      </c>
      <c r="S275" s="17" t="s">
        <v>150</v>
      </c>
      <c r="T275" s="17"/>
      <c r="U275" s="30" t="s">
        <v>43</v>
      </c>
      <c r="V275" s="17"/>
      <c r="W275" s="17"/>
      <c r="X275" s="17"/>
      <c r="Y275" s="17"/>
      <c r="Z275" s="195" t="s">
        <v>151</v>
      </c>
      <c r="AA275" s="186"/>
      <c r="AB275" s="186"/>
      <c r="AC275" s="186"/>
      <c r="AD275" s="186"/>
      <c r="AE275" s="188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</row>
    <row r="276" spans="1:54" ht="20.25" customHeight="1" x14ac:dyDescent="0.3">
      <c r="A276" s="17">
        <v>34</v>
      </c>
      <c r="B276" s="17" t="s">
        <v>2833</v>
      </c>
      <c r="C276" s="17" t="s">
        <v>1856</v>
      </c>
      <c r="D276" s="17"/>
      <c r="E276" s="17" t="s">
        <v>604</v>
      </c>
      <c r="F276" s="17" t="s">
        <v>605</v>
      </c>
      <c r="G276" s="17" t="s">
        <v>606</v>
      </c>
      <c r="H276" s="17" t="s">
        <v>607</v>
      </c>
      <c r="I276" s="26" t="s">
        <v>608</v>
      </c>
      <c r="J276" s="17" t="s">
        <v>609</v>
      </c>
      <c r="K276" s="17" t="s">
        <v>51</v>
      </c>
      <c r="L276" s="17">
        <v>3</v>
      </c>
      <c r="M276" s="17" t="s">
        <v>610</v>
      </c>
      <c r="N276" s="17" t="s">
        <v>611</v>
      </c>
      <c r="O276" s="17" t="s">
        <v>612</v>
      </c>
      <c r="P276" s="17" t="s">
        <v>613</v>
      </c>
      <c r="Q276" s="17"/>
      <c r="R276" s="17" t="s">
        <v>614</v>
      </c>
      <c r="S276" s="17" t="s">
        <v>615</v>
      </c>
      <c r="T276" s="17" t="s">
        <v>616</v>
      </c>
      <c r="U276" s="30" t="s">
        <v>43</v>
      </c>
      <c r="V276" s="17"/>
      <c r="W276" s="17"/>
      <c r="X276" s="17"/>
      <c r="Y276" s="17"/>
      <c r="Z276" s="195" t="s">
        <v>227</v>
      </c>
      <c r="AA276" s="186"/>
      <c r="AB276" s="186"/>
      <c r="AC276" s="186"/>
      <c r="AD276" s="186"/>
      <c r="AE276" s="188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</row>
    <row r="277" spans="1:54" ht="20.25" customHeight="1" x14ac:dyDescent="0.3">
      <c r="A277" s="17">
        <v>35</v>
      </c>
      <c r="B277" s="17" t="s">
        <v>2834</v>
      </c>
      <c r="C277" s="17" t="s">
        <v>1856</v>
      </c>
      <c r="D277" s="17"/>
      <c r="E277" s="17" t="s">
        <v>215</v>
      </c>
      <c r="F277" s="17" t="s">
        <v>216</v>
      </c>
      <c r="G277" s="17" t="s">
        <v>180</v>
      </c>
      <c r="H277" s="17" t="s">
        <v>217</v>
      </c>
      <c r="I277" s="26" t="s">
        <v>218</v>
      </c>
      <c r="J277" s="17" t="s">
        <v>2835</v>
      </c>
      <c r="K277" s="17" t="s">
        <v>51</v>
      </c>
      <c r="L277" s="17" t="s">
        <v>35</v>
      </c>
      <c r="M277" s="17" t="s">
        <v>220</v>
      </c>
      <c r="N277" s="17" t="s">
        <v>221</v>
      </c>
      <c r="O277" s="17" t="s">
        <v>222</v>
      </c>
      <c r="P277" s="17" t="s">
        <v>2836</v>
      </c>
      <c r="Q277" s="17" t="s">
        <v>224</v>
      </c>
      <c r="R277" s="17" t="s">
        <v>225</v>
      </c>
      <c r="S277" s="17" t="s">
        <v>226</v>
      </c>
      <c r="T277" s="17"/>
      <c r="U277" s="30" t="s">
        <v>43</v>
      </c>
      <c r="V277" s="17"/>
      <c r="W277" s="17"/>
      <c r="X277" s="17"/>
      <c r="Y277" s="17"/>
      <c r="Z277" s="195" t="s">
        <v>227</v>
      </c>
      <c r="AA277" s="186"/>
      <c r="AB277" s="186"/>
      <c r="AC277" s="186"/>
      <c r="AD277" s="186"/>
      <c r="AE277" s="188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</row>
    <row r="278" spans="1:54" ht="20.25" customHeight="1" x14ac:dyDescent="0.3">
      <c r="A278" s="17">
        <v>36</v>
      </c>
      <c r="B278" s="17" t="s">
        <v>2833</v>
      </c>
      <c r="C278" s="17" t="s">
        <v>1856</v>
      </c>
      <c r="D278" s="17" t="s">
        <v>2837</v>
      </c>
      <c r="E278" s="17" t="s">
        <v>1145</v>
      </c>
      <c r="F278" s="17" t="s">
        <v>2838</v>
      </c>
      <c r="G278" s="17" t="s">
        <v>1147</v>
      </c>
      <c r="H278" s="17" t="s">
        <v>1148</v>
      </c>
      <c r="I278" s="26" t="s">
        <v>1149</v>
      </c>
      <c r="J278" s="17" t="s">
        <v>1150</v>
      </c>
      <c r="K278" s="17" t="s">
        <v>51</v>
      </c>
      <c r="L278" s="17">
        <v>7</v>
      </c>
      <c r="M278" s="17" t="s">
        <v>1151</v>
      </c>
      <c r="N278" s="17" t="s">
        <v>1152</v>
      </c>
      <c r="O278" s="17" t="s">
        <v>1153</v>
      </c>
      <c r="P278" s="17" t="s">
        <v>2839</v>
      </c>
      <c r="Q278" s="17"/>
      <c r="R278" s="17" t="s">
        <v>1155</v>
      </c>
      <c r="S278" s="17" t="s">
        <v>1156</v>
      </c>
      <c r="T278" s="17" t="s">
        <v>1157</v>
      </c>
      <c r="U278" s="30" t="s">
        <v>43</v>
      </c>
      <c r="V278" s="17"/>
      <c r="W278" s="17"/>
      <c r="X278" s="17"/>
      <c r="Y278" s="17"/>
      <c r="Z278" s="195" t="s">
        <v>1158</v>
      </c>
      <c r="AA278" s="186"/>
      <c r="AB278" s="186"/>
      <c r="AC278" s="186"/>
      <c r="AD278" s="186"/>
      <c r="AE278" s="188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</row>
    <row r="279" spans="1:54" ht="20.25" customHeight="1" x14ac:dyDescent="0.3">
      <c r="A279" s="17">
        <v>37</v>
      </c>
      <c r="B279" s="17" t="s">
        <v>2837</v>
      </c>
      <c r="C279" s="17" t="s">
        <v>1856</v>
      </c>
      <c r="D279" s="17" t="s">
        <v>2840</v>
      </c>
      <c r="E279" s="17" t="s">
        <v>152</v>
      </c>
      <c r="F279" s="17" t="s">
        <v>153</v>
      </c>
      <c r="G279" s="17" t="s">
        <v>154</v>
      </c>
      <c r="H279" s="17" t="s">
        <v>155</v>
      </c>
      <c r="I279" s="26" t="s">
        <v>156</v>
      </c>
      <c r="J279" s="17" t="s">
        <v>157</v>
      </c>
      <c r="K279" s="17" t="s">
        <v>34</v>
      </c>
      <c r="L279" s="17" t="s">
        <v>35</v>
      </c>
      <c r="M279" s="17" t="s">
        <v>158</v>
      </c>
      <c r="N279" s="17" t="s">
        <v>159</v>
      </c>
      <c r="O279" s="17" t="s">
        <v>160</v>
      </c>
      <c r="P279" s="17" t="s">
        <v>161</v>
      </c>
      <c r="Q279" s="17"/>
      <c r="R279" s="17" t="s">
        <v>162</v>
      </c>
      <c r="S279" s="17" t="s">
        <v>163</v>
      </c>
      <c r="T279" s="17"/>
      <c r="U279" s="30" t="s">
        <v>164</v>
      </c>
      <c r="V279" s="17"/>
      <c r="W279" s="17"/>
      <c r="X279" s="17"/>
      <c r="Y279" s="17"/>
      <c r="Z279" s="195" t="s">
        <v>165</v>
      </c>
      <c r="AA279" s="186"/>
      <c r="AB279" s="186"/>
      <c r="AC279" s="186"/>
      <c r="AD279" s="186"/>
      <c r="AE279" s="188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</row>
    <row r="280" spans="1:54" ht="20.25" customHeight="1" x14ac:dyDescent="0.3">
      <c r="A280" s="17">
        <v>38</v>
      </c>
      <c r="B280" s="17" t="s">
        <v>2837</v>
      </c>
      <c r="C280" s="17" t="s">
        <v>1856</v>
      </c>
      <c r="D280" s="17" t="s">
        <v>2840</v>
      </c>
      <c r="E280" s="17" t="s">
        <v>2841</v>
      </c>
      <c r="F280" s="17" t="s">
        <v>2842</v>
      </c>
      <c r="G280" s="17" t="s">
        <v>2843</v>
      </c>
      <c r="H280" s="17" t="s">
        <v>260</v>
      </c>
      <c r="I280" s="26" t="s">
        <v>156</v>
      </c>
      <c r="J280" s="17" t="s">
        <v>157</v>
      </c>
      <c r="K280" s="17" t="s">
        <v>51</v>
      </c>
      <c r="L280" s="17">
        <v>1</v>
      </c>
      <c r="M280" s="17" t="s">
        <v>261</v>
      </c>
      <c r="N280" s="17" t="s">
        <v>159</v>
      </c>
      <c r="O280" s="17" t="s">
        <v>160</v>
      </c>
      <c r="P280" s="17" t="s">
        <v>161</v>
      </c>
      <c r="Q280" s="17"/>
      <c r="R280" s="17" t="s">
        <v>162</v>
      </c>
      <c r="S280" s="17" t="s">
        <v>163</v>
      </c>
      <c r="T280" s="17"/>
      <c r="U280" s="30" t="s">
        <v>164</v>
      </c>
      <c r="V280" s="17"/>
      <c r="W280" s="17"/>
      <c r="X280" s="17"/>
      <c r="Y280" s="17"/>
      <c r="Z280" s="195" t="s">
        <v>165</v>
      </c>
      <c r="AA280" s="186"/>
      <c r="AB280" s="186"/>
      <c r="AC280" s="186"/>
      <c r="AD280" s="186"/>
      <c r="AE280" s="188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</row>
    <row r="281" spans="1:54" ht="20.25" customHeight="1" x14ac:dyDescent="0.3">
      <c r="A281" s="17">
        <v>39</v>
      </c>
      <c r="B281" s="17" t="s">
        <v>2833</v>
      </c>
      <c r="C281" s="17" t="s">
        <v>1856</v>
      </c>
      <c r="D281" s="17" t="s">
        <v>2840</v>
      </c>
      <c r="E281" s="17" t="s">
        <v>1736</v>
      </c>
      <c r="F281" s="17" t="s">
        <v>1737</v>
      </c>
      <c r="G281" s="17" t="s">
        <v>1581</v>
      </c>
      <c r="H281" s="17" t="s">
        <v>1738</v>
      </c>
      <c r="I281" s="26" t="s">
        <v>669</v>
      </c>
      <c r="J281" s="17" t="s">
        <v>1739</v>
      </c>
      <c r="K281" s="17" t="s">
        <v>34</v>
      </c>
      <c r="L281" s="17">
        <v>10</v>
      </c>
      <c r="M281" s="17" t="s">
        <v>1740</v>
      </c>
      <c r="N281" s="17" t="s">
        <v>672</v>
      </c>
      <c r="O281" s="17" t="s">
        <v>673</v>
      </c>
      <c r="P281" s="17" t="s">
        <v>674</v>
      </c>
      <c r="Q281" s="17"/>
      <c r="R281" s="17" t="s">
        <v>675</v>
      </c>
      <c r="S281" s="17" t="s">
        <v>676</v>
      </c>
      <c r="T281" s="17" t="s">
        <v>1741</v>
      </c>
      <c r="U281" s="30" t="s">
        <v>43</v>
      </c>
      <c r="V281" s="17"/>
      <c r="W281" s="17"/>
      <c r="X281" s="17"/>
      <c r="Y281" s="17"/>
      <c r="Z281" s="195" t="s">
        <v>2844</v>
      </c>
      <c r="AA281" s="186"/>
      <c r="AB281" s="186"/>
      <c r="AC281" s="186"/>
      <c r="AD281" s="186"/>
      <c r="AE281" s="188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</row>
    <row r="282" spans="1:54" ht="20.25" customHeight="1" x14ac:dyDescent="0.3">
      <c r="A282" s="17">
        <v>40</v>
      </c>
      <c r="B282" s="17" t="s">
        <v>2840</v>
      </c>
      <c r="C282" s="17"/>
      <c r="D282" s="17"/>
      <c r="E282" s="17" t="s">
        <v>262</v>
      </c>
      <c r="F282" s="17" t="s">
        <v>263</v>
      </c>
      <c r="G282" s="17" t="s">
        <v>264</v>
      </c>
      <c r="H282" s="17" t="s">
        <v>265</v>
      </c>
      <c r="I282" s="26" t="s">
        <v>130</v>
      </c>
      <c r="J282" s="17" t="s">
        <v>2845</v>
      </c>
      <c r="K282" s="17" t="s">
        <v>51</v>
      </c>
      <c r="L282" s="17">
        <v>1</v>
      </c>
      <c r="M282" s="17" t="s">
        <v>267</v>
      </c>
      <c r="N282" s="17"/>
      <c r="O282" s="17" t="s">
        <v>268</v>
      </c>
      <c r="P282" s="17" t="s">
        <v>269</v>
      </c>
      <c r="Q282" s="17"/>
      <c r="R282" s="17"/>
      <c r="S282" s="17" t="s">
        <v>270</v>
      </c>
      <c r="T282" s="17"/>
      <c r="U282" s="30" t="s">
        <v>271</v>
      </c>
      <c r="V282" s="17"/>
      <c r="W282" s="17"/>
      <c r="X282" s="17"/>
      <c r="Y282" s="17"/>
      <c r="Z282" s="195" t="s">
        <v>272</v>
      </c>
      <c r="AA282" s="186"/>
      <c r="AB282" s="186"/>
      <c r="AC282" s="186"/>
      <c r="AD282" s="186"/>
      <c r="AE282" s="188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</row>
    <row r="283" spans="1:54" ht="20.25" customHeight="1" x14ac:dyDescent="0.3">
      <c r="A283" s="17">
        <v>41</v>
      </c>
      <c r="B283" s="17" t="s">
        <v>2846</v>
      </c>
      <c r="C283" s="17"/>
      <c r="D283" s="17" t="s">
        <v>2846</v>
      </c>
      <c r="E283" s="17" t="s">
        <v>28</v>
      </c>
      <c r="F283" s="17" t="s">
        <v>29</v>
      </c>
      <c r="G283" s="17" t="s">
        <v>30</v>
      </c>
      <c r="H283" s="17" t="s">
        <v>31</v>
      </c>
      <c r="I283" s="26" t="s">
        <v>32</v>
      </c>
      <c r="J283" s="17" t="s">
        <v>33</v>
      </c>
      <c r="K283" s="17" t="s">
        <v>34</v>
      </c>
      <c r="L283" s="17" t="s">
        <v>35</v>
      </c>
      <c r="M283" s="17" t="s">
        <v>36</v>
      </c>
      <c r="N283" s="17" t="s">
        <v>37</v>
      </c>
      <c r="O283" s="17" t="s">
        <v>38</v>
      </c>
      <c r="P283" s="17" t="s">
        <v>39</v>
      </c>
      <c r="Q283" s="17"/>
      <c r="R283" s="17" t="s">
        <v>41</v>
      </c>
      <c r="S283" s="17" t="s">
        <v>42</v>
      </c>
      <c r="T283" s="17"/>
      <c r="U283" s="30" t="s">
        <v>43</v>
      </c>
      <c r="V283" s="17"/>
      <c r="W283" s="17"/>
      <c r="X283" s="17"/>
      <c r="Y283" s="17"/>
      <c r="Z283" s="195" t="s">
        <v>44</v>
      </c>
      <c r="AA283" s="186"/>
      <c r="AB283" s="186"/>
      <c r="AC283" s="186"/>
      <c r="AD283" s="186"/>
      <c r="AE283" s="188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</row>
    <row r="284" spans="1:54" ht="20.25" customHeight="1" x14ac:dyDescent="0.3">
      <c r="A284" s="17">
        <v>42</v>
      </c>
      <c r="B284" s="17"/>
      <c r="C284" s="17" t="s">
        <v>1856</v>
      </c>
      <c r="D284" s="17"/>
      <c r="E284" s="17" t="s">
        <v>273</v>
      </c>
      <c r="F284" s="17" t="s">
        <v>274</v>
      </c>
      <c r="G284" s="17" t="s">
        <v>275</v>
      </c>
      <c r="H284" s="17" t="s">
        <v>276</v>
      </c>
      <c r="I284" s="26" t="s">
        <v>277</v>
      </c>
      <c r="J284" s="17" t="s">
        <v>278</v>
      </c>
      <c r="K284" s="17" t="s">
        <v>51</v>
      </c>
      <c r="L284" s="17">
        <v>1</v>
      </c>
      <c r="M284" s="17" t="s">
        <v>279</v>
      </c>
      <c r="N284" s="17" t="s">
        <v>280</v>
      </c>
      <c r="O284" s="17" t="s">
        <v>281</v>
      </c>
      <c r="P284" s="17" t="s">
        <v>282</v>
      </c>
      <c r="Q284" s="17"/>
      <c r="R284" s="17" t="s">
        <v>283</v>
      </c>
      <c r="S284" s="17" t="s">
        <v>284</v>
      </c>
      <c r="T284" s="17"/>
      <c r="U284" s="30" t="s">
        <v>43</v>
      </c>
      <c r="V284" s="17"/>
      <c r="W284" s="17"/>
      <c r="X284" s="17"/>
      <c r="Y284" s="17"/>
      <c r="Z284" s="195" t="s">
        <v>285</v>
      </c>
      <c r="AA284" s="186"/>
      <c r="AB284" s="186"/>
      <c r="AC284" s="186"/>
      <c r="AD284" s="186"/>
      <c r="AE284" s="188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</row>
    <row r="285" spans="1:54" ht="20.25" customHeight="1" x14ac:dyDescent="0.3">
      <c r="A285" s="17">
        <v>43</v>
      </c>
      <c r="B285" s="17"/>
      <c r="C285" s="17" t="s">
        <v>1856</v>
      </c>
      <c r="D285" s="17"/>
      <c r="E285" s="17" t="s">
        <v>801</v>
      </c>
      <c r="F285" s="17" t="s">
        <v>802</v>
      </c>
      <c r="G285" s="17" t="s">
        <v>803</v>
      </c>
      <c r="H285" s="17" t="s">
        <v>804</v>
      </c>
      <c r="I285" s="26" t="s">
        <v>277</v>
      </c>
      <c r="J285" s="17" t="s">
        <v>278</v>
      </c>
      <c r="K285" s="17" t="s">
        <v>51</v>
      </c>
      <c r="L285" s="17">
        <v>5</v>
      </c>
      <c r="M285" s="17" t="s">
        <v>805</v>
      </c>
      <c r="N285" s="17" t="s">
        <v>280</v>
      </c>
      <c r="O285" s="17" t="s">
        <v>281</v>
      </c>
      <c r="P285" s="17" t="s">
        <v>282</v>
      </c>
      <c r="Q285" s="17"/>
      <c r="R285" s="17" t="s">
        <v>283</v>
      </c>
      <c r="S285" s="17" t="s">
        <v>284</v>
      </c>
      <c r="T285" s="17"/>
      <c r="U285" s="30" t="s">
        <v>271</v>
      </c>
      <c r="V285" s="17"/>
      <c r="W285" s="17"/>
      <c r="X285" s="17"/>
      <c r="Y285" s="17"/>
      <c r="Z285" s="195" t="s">
        <v>285</v>
      </c>
      <c r="AA285" s="186"/>
      <c r="AB285" s="186"/>
      <c r="AC285" s="186"/>
      <c r="AD285" s="186"/>
      <c r="AE285" s="188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</row>
    <row r="286" spans="1:54" ht="20.25" customHeight="1" x14ac:dyDescent="0.3">
      <c r="A286" s="17">
        <v>44</v>
      </c>
      <c r="B286" s="17"/>
      <c r="C286" s="17" t="s">
        <v>1856</v>
      </c>
      <c r="D286" s="17"/>
      <c r="E286" s="17" t="s">
        <v>1501</v>
      </c>
      <c r="F286" s="17" t="s">
        <v>1502</v>
      </c>
      <c r="G286" s="17" t="s">
        <v>1091</v>
      </c>
      <c r="H286" s="17" t="s">
        <v>1503</v>
      </c>
      <c r="I286" s="26" t="s">
        <v>1504</v>
      </c>
      <c r="J286" s="17" t="s">
        <v>2847</v>
      </c>
      <c r="K286" s="17" t="s">
        <v>34</v>
      </c>
      <c r="L286" s="17">
        <v>9</v>
      </c>
      <c r="M286" s="17" t="s">
        <v>1506</v>
      </c>
      <c r="N286" s="17" t="s">
        <v>1507</v>
      </c>
      <c r="O286" s="17" t="s">
        <v>1508</v>
      </c>
      <c r="P286" s="17" t="s">
        <v>2848</v>
      </c>
      <c r="Q286" s="17"/>
      <c r="R286" s="17" t="s">
        <v>1510</v>
      </c>
      <c r="S286" s="17" t="s">
        <v>1511</v>
      </c>
      <c r="T286" s="17"/>
      <c r="U286" s="30" t="s">
        <v>1513</v>
      </c>
      <c r="V286" s="17"/>
      <c r="W286" s="17"/>
      <c r="X286" s="17"/>
      <c r="Y286" s="17"/>
      <c r="Z286" s="195" t="s">
        <v>2849</v>
      </c>
      <c r="AA286" s="186"/>
      <c r="AB286" s="186"/>
      <c r="AC286" s="186"/>
      <c r="AD286" s="186"/>
      <c r="AE286" s="188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</row>
    <row r="287" spans="1:54" ht="20.25" customHeight="1" x14ac:dyDescent="0.3">
      <c r="A287" s="17">
        <v>45</v>
      </c>
      <c r="B287" s="17" t="s">
        <v>2850</v>
      </c>
      <c r="C287" s="17" t="s">
        <v>1856</v>
      </c>
      <c r="D287" s="17"/>
      <c r="E287" s="17" t="s">
        <v>807</v>
      </c>
      <c r="F287" s="17" t="s">
        <v>808</v>
      </c>
      <c r="G287" s="17" t="s">
        <v>192</v>
      </c>
      <c r="H287" s="17" t="s">
        <v>809</v>
      </c>
      <c r="I287" s="26" t="s">
        <v>810</v>
      </c>
      <c r="J287" s="17" t="s">
        <v>811</v>
      </c>
      <c r="K287" s="17" t="s">
        <v>51</v>
      </c>
      <c r="L287" s="17">
        <v>5</v>
      </c>
      <c r="M287" s="17" t="s">
        <v>812</v>
      </c>
      <c r="N287" s="17" t="s">
        <v>813</v>
      </c>
      <c r="O287" s="17" t="s">
        <v>814</v>
      </c>
      <c r="P287" s="17" t="s">
        <v>815</v>
      </c>
      <c r="Q287" s="17"/>
      <c r="R287" s="17" t="s">
        <v>816</v>
      </c>
      <c r="S287" s="17" t="s">
        <v>817</v>
      </c>
      <c r="T287" s="17" t="s">
        <v>818</v>
      </c>
      <c r="U287" s="30" t="s">
        <v>819</v>
      </c>
      <c r="V287" s="17"/>
      <c r="W287" s="17"/>
      <c r="X287" s="17"/>
      <c r="Y287" s="17"/>
      <c r="Z287" s="195" t="s">
        <v>820</v>
      </c>
      <c r="AA287" s="186"/>
      <c r="AB287" s="186"/>
      <c r="AC287" s="186"/>
      <c r="AD287" s="186"/>
      <c r="AE287" s="188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</row>
    <row r="288" spans="1:54" ht="20.25" customHeight="1" x14ac:dyDescent="0.3">
      <c r="A288" s="17">
        <v>46</v>
      </c>
      <c r="B288" s="17" t="s">
        <v>2850</v>
      </c>
      <c r="C288" s="17" t="s">
        <v>1856</v>
      </c>
      <c r="D288" s="17"/>
      <c r="E288" s="17" t="s">
        <v>1420</v>
      </c>
      <c r="F288" s="17" t="s">
        <v>2851</v>
      </c>
      <c r="G288" s="17" t="s">
        <v>1422</v>
      </c>
      <c r="H288" s="17" t="s">
        <v>1423</v>
      </c>
      <c r="I288" s="26" t="s">
        <v>810</v>
      </c>
      <c r="J288" s="17" t="s">
        <v>811</v>
      </c>
      <c r="K288" s="17" t="s">
        <v>51</v>
      </c>
      <c r="L288" s="17">
        <v>8</v>
      </c>
      <c r="M288" s="17" t="s">
        <v>1424</v>
      </c>
      <c r="N288" s="17" t="s">
        <v>813</v>
      </c>
      <c r="O288" s="17" t="s">
        <v>814</v>
      </c>
      <c r="P288" s="17" t="s">
        <v>815</v>
      </c>
      <c r="Q288" s="17"/>
      <c r="R288" s="17" t="s">
        <v>816</v>
      </c>
      <c r="S288" s="17" t="s">
        <v>817</v>
      </c>
      <c r="T288" s="17" t="s">
        <v>1425</v>
      </c>
      <c r="U288" s="30" t="s">
        <v>819</v>
      </c>
      <c r="V288" s="17"/>
      <c r="W288" s="17"/>
      <c r="X288" s="17"/>
      <c r="Y288" s="17"/>
      <c r="Z288" s="195" t="s">
        <v>820</v>
      </c>
      <c r="AA288" s="186"/>
      <c r="AB288" s="186"/>
      <c r="AC288" s="186"/>
      <c r="AD288" s="186"/>
      <c r="AE288" s="188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</row>
    <row r="289" spans="1:54" ht="20.25" customHeight="1" x14ac:dyDescent="0.3">
      <c r="A289" s="17">
        <v>47</v>
      </c>
      <c r="B289" s="17" t="s">
        <v>2852</v>
      </c>
      <c r="C289" s="17" t="s">
        <v>1856</v>
      </c>
      <c r="D289" s="17"/>
      <c r="E289" s="17" t="s">
        <v>2853</v>
      </c>
      <c r="F289" s="17" t="s">
        <v>2854</v>
      </c>
      <c r="G289" s="17" t="s">
        <v>2531</v>
      </c>
      <c r="H289" s="17" t="s">
        <v>2855</v>
      </c>
      <c r="I289" s="26" t="s">
        <v>456</v>
      </c>
      <c r="J289" s="17" t="s">
        <v>2856</v>
      </c>
      <c r="K289" s="17" t="s">
        <v>34</v>
      </c>
      <c r="L289" s="17">
        <v>9</v>
      </c>
      <c r="M289" s="17" t="s">
        <v>2857</v>
      </c>
      <c r="N289" s="17" t="s">
        <v>2858</v>
      </c>
      <c r="O289" s="17" t="s">
        <v>2859</v>
      </c>
      <c r="P289" s="17" t="s">
        <v>2860</v>
      </c>
      <c r="Q289" s="17"/>
      <c r="R289" s="17" t="s">
        <v>2861</v>
      </c>
      <c r="S289" s="17" t="s">
        <v>2862</v>
      </c>
      <c r="T289" s="17" t="s">
        <v>2863</v>
      </c>
      <c r="U289" s="30" t="s">
        <v>819</v>
      </c>
      <c r="V289" s="17"/>
      <c r="W289" s="17"/>
      <c r="X289" s="17"/>
      <c r="Y289" s="17"/>
      <c r="Z289" s="195" t="s">
        <v>2864</v>
      </c>
      <c r="AA289" s="186"/>
      <c r="AB289" s="186"/>
      <c r="AC289" s="186"/>
      <c r="AD289" s="186"/>
      <c r="AE289" s="188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</row>
    <row r="290" spans="1:54" ht="20.25" customHeight="1" x14ac:dyDescent="0.3">
      <c r="A290" s="17">
        <v>48</v>
      </c>
      <c r="B290" s="17" t="s">
        <v>2852</v>
      </c>
      <c r="C290" s="17" t="s">
        <v>1856</v>
      </c>
      <c r="D290" s="17"/>
      <c r="E290" s="17" t="s">
        <v>2865</v>
      </c>
      <c r="F290" s="17" t="s">
        <v>2866</v>
      </c>
      <c r="G290" s="17" t="s">
        <v>2867</v>
      </c>
      <c r="H290" s="17" t="s">
        <v>2868</v>
      </c>
      <c r="I290" s="26" t="s">
        <v>2869</v>
      </c>
      <c r="J290" s="17" t="s">
        <v>2870</v>
      </c>
      <c r="K290" s="17" t="s">
        <v>34</v>
      </c>
      <c r="L290" s="17">
        <v>8</v>
      </c>
      <c r="M290" s="17" t="s">
        <v>2871</v>
      </c>
      <c r="N290" s="17" t="s">
        <v>2872</v>
      </c>
      <c r="O290" s="17" t="s">
        <v>2873</v>
      </c>
      <c r="P290" s="17" t="s">
        <v>2874</v>
      </c>
      <c r="Q290" s="17"/>
      <c r="R290" s="17" t="s">
        <v>2875</v>
      </c>
      <c r="S290" s="17" t="s">
        <v>2876</v>
      </c>
      <c r="T290" s="17" t="s">
        <v>2877</v>
      </c>
      <c r="U290" s="30" t="s">
        <v>819</v>
      </c>
      <c r="V290" s="17"/>
      <c r="W290" s="17"/>
      <c r="X290" s="17"/>
      <c r="Y290" s="17"/>
      <c r="Z290" s="195" t="s">
        <v>2878</v>
      </c>
      <c r="AA290" s="186"/>
      <c r="AB290" s="186"/>
      <c r="AC290" s="186"/>
      <c r="AD290" s="186"/>
      <c r="AE290" s="188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</row>
    <row r="291" spans="1:54" ht="20.25" customHeight="1" x14ac:dyDescent="0.3">
      <c r="A291" s="17">
        <v>49</v>
      </c>
      <c r="B291" s="17" t="s">
        <v>2879</v>
      </c>
      <c r="C291" s="17" t="s">
        <v>1856</v>
      </c>
      <c r="D291" s="17" t="s">
        <v>2879</v>
      </c>
      <c r="E291" s="24" t="s">
        <v>2880</v>
      </c>
      <c r="F291" s="17" t="s">
        <v>2881</v>
      </c>
      <c r="G291" s="17" t="s">
        <v>2882</v>
      </c>
      <c r="H291" s="17" t="s">
        <v>2883</v>
      </c>
      <c r="I291" s="26" t="s">
        <v>1177</v>
      </c>
      <c r="J291" s="17" t="s">
        <v>1178</v>
      </c>
      <c r="K291" s="17" t="s">
        <v>51</v>
      </c>
      <c r="L291" s="17">
        <v>9</v>
      </c>
      <c r="M291" s="17" t="s">
        <v>2884</v>
      </c>
      <c r="N291" s="17" t="s">
        <v>1180</v>
      </c>
      <c r="O291" s="17" t="s">
        <v>1181</v>
      </c>
      <c r="P291" s="17" t="s">
        <v>1182</v>
      </c>
      <c r="Q291" s="34"/>
      <c r="R291" s="17" t="s">
        <v>1183</v>
      </c>
      <c r="S291" s="17" t="s">
        <v>1184</v>
      </c>
      <c r="T291" s="17" t="s">
        <v>1185</v>
      </c>
      <c r="U291" s="54" t="s">
        <v>2885</v>
      </c>
      <c r="V291" s="34"/>
      <c r="W291" s="34"/>
      <c r="X291" s="34"/>
      <c r="Y291" s="34"/>
      <c r="Z291" s="195" t="s">
        <v>2886</v>
      </c>
      <c r="AA291" s="186"/>
      <c r="AB291" s="186"/>
      <c r="AC291" s="186"/>
      <c r="AD291" s="186"/>
      <c r="AE291" s="188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</row>
    <row r="292" spans="1:54" ht="20.25" customHeight="1" x14ac:dyDescent="0.3">
      <c r="A292" s="17">
        <v>50</v>
      </c>
      <c r="B292" s="17" t="s">
        <v>2887</v>
      </c>
      <c r="C292" s="17" t="s">
        <v>1856</v>
      </c>
      <c r="D292" s="17" t="s">
        <v>2887</v>
      </c>
      <c r="E292" s="17" t="s">
        <v>1159</v>
      </c>
      <c r="F292" s="17" t="s">
        <v>1160</v>
      </c>
      <c r="G292" s="17" t="s">
        <v>1161</v>
      </c>
      <c r="H292" s="17" t="s">
        <v>1162</v>
      </c>
      <c r="I292" s="26" t="s">
        <v>1163</v>
      </c>
      <c r="J292" s="17" t="s">
        <v>1164</v>
      </c>
      <c r="K292" s="17" t="s">
        <v>51</v>
      </c>
      <c r="L292" s="17">
        <v>8</v>
      </c>
      <c r="M292" s="17" t="s">
        <v>1165</v>
      </c>
      <c r="N292" s="17" t="s">
        <v>1166</v>
      </c>
      <c r="O292" s="17" t="s">
        <v>1167</v>
      </c>
      <c r="P292" s="17" t="s">
        <v>1168</v>
      </c>
      <c r="Q292" s="17"/>
      <c r="R292" s="17" t="s">
        <v>1169</v>
      </c>
      <c r="S292" s="17" t="s">
        <v>1170</v>
      </c>
      <c r="T292" s="17" t="s">
        <v>1171</v>
      </c>
      <c r="U292" s="30" t="s">
        <v>58</v>
      </c>
      <c r="V292" s="17"/>
      <c r="W292" s="17"/>
      <c r="X292" s="17"/>
      <c r="Y292" s="17"/>
      <c r="Z292" s="195" t="s">
        <v>1172</v>
      </c>
      <c r="AA292" s="186"/>
      <c r="AB292" s="186"/>
      <c r="AC292" s="186"/>
      <c r="AD292" s="186"/>
      <c r="AE292" s="188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</row>
    <row r="293" spans="1:54" ht="20.25" customHeight="1" x14ac:dyDescent="0.3">
      <c r="A293" s="17">
        <v>51</v>
      </c>
      <c r="B293" s="17" t="s">
        <v>2888</v>
      </c>
      <c r="C293" s="17" t="s">
        <v>1856</v>
      </c>
      <c r="D293" s="17" t="s">
        <v>2888</v>
      </c>
      <c r="E293" s="17" t="s">
        <v>718</v>
      </c>
      <c r="F293" s="17" t="s">
        <v>719</v>
      </c>
      <c r="G293" s="17" t="s">
        <v>720</v>
      </c>
      <c r="H293" s="17" t="s">
        <v>721</v>
      </c>
      <c r="I293" s="26" t="s">
        <v>669</v>
      </c>
      <c r="J293" s="17" t="s">
        <v>722</v>
      </c>
      <c r="K293" s="17" t="s">
        <v>51</v>
      </c>
      <c r="L293" s="17">
        <v>5</v>
      </c>
      <c r="M293" s="17" t="s">
        <v>723</v>
      </c>
      <c r="N293" s="17" t="s">
        <v>724</v>
      </c>
      <c r="O293" s="17" t="s">
        <v>725</v>
      </c>
      <c r="P293" s="17" t="s">
        <v>726</v>
      </c>
      <c r="Q293" s="17"/>
      <c r="R293" s="17" t="s">
        <v>727</v>
      </c>
      <c r="S293" s="17" t="s">
        <v>728</v>
      </c>
      <c r="T293" s="17" t="s">
        <v>729</v>
      </c>
      <c r="U293" s="30" t="s">
        <v>58</v>
      </c>
      <c r="V293" s="17"/>
      <c r="W293" s="17"/>
      <c r="X293" s="17"/>
      <c r="Y293" s="17"/>
      <c r="Z293" s="195" t="s">
        <v>730</v>
      </c>
      <c r="AA293" s="186"/>
      <c r="AB293" s="186"/>
      <c r="AC293" s="186"/>
      <c r="AD293" s="186"/>
      <c r="AE293" s="188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</row>
    <row r="294" spans="1:54" ht="20.25" customHeight="1" x14ac:dyDescent="0.3">
      <c r="A294" s="17">
        <v>52</v>
      </c>
      <c r="B294" s="17" t="s">
        <v>2889</v>
      </c>
      <c r="C294" s="17" t="s">
        <v>1856</v>
      </c>
      <c r="D294" s="17" t="s">
        <v>2889</v>
      </c>
      <c r="E294" s="17" t="s">
        <v>84</v>
      </c>
      <c r="F294" s="17" t="s">
        <v>85</v>
      </c>
      <c r="G294" s="17" t="s">
        <v>86</v>
      </c>
      <c r="H294" s="17" t="s">
        <v>87</v>
      </c>
      <c r="I294" s="26" t="s">
        <v>88</v>
      </c>
      <c r="J294" s="17" t="s">
        <v>89</v>
      </c>
      <c r="K294" s="17" t="s">
        <v>51</v>
      </c>
      <c r="L294" s="17" t="s">
        <v>35</v>
      </c>
      <c r="M294" s="17" t="s">
        <v>90</v>
      </c>
      <c r="N294" s="17" t="s">
        <v>91</v>
      </c>
      <c r="O294" s="17" t="s">
        <v>92</v>
      </c>
      <c r="P294" s="17" t="s">
        <v>93</v>
      </c>
      <c r="Q294" s="17"/>
      <c r="R294" s="17" t="s">
        <v>94</v>
      </c>
      <c r="S294" s="17" t="s">
        <v>95</v>
      </c>
      <c r="T294" s="17"/>
      <c r="U294" s="30" t="s">
        <v>58</v>
      </c>
      <c r="V294" s="17"/>
      <c r="W294" s="17"/>
      <c r="X294" s="17"/>
      <c r="Y294" s="17"/>
      <c r="Z294" s="195" t="s">
        <v>96</v>
      </c>
      <c r="AA294" s="186"/>
      <c r="AB294" s="186"/>
      <c r="AC294" s="186"/>
      <c r="AD294" s="186"/>
      <c r="AE294" s="188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</row>
    <row r="295" spans="1:54" ht="20.25" customHeight="1" x14ac:dyDescent="0.3">
      <c r="A295" s="17">
        <v>53</v>
      </c>
      <c r="B295" s="17" t="s">
        <v>2890</v>
      </c>
      <c r="C295" s="17" t="s">
        <v>1856</v>
      </c>
      <c r="D295" s="17" t="s">
        <v>2890</v>
      </c>
      <c r="E295" s="17" t="s">
        <v>1214</v>
      </c>
      <c r="F295" s="17" t="s">
        <v>1215</v>
      </c>
      <c r="G295" s="17" t="s">
        <v>854</v>
      </c>
      <c r="H295" s="17" t="s">
        <v>1216</v>
      </c>
      <c r="I295" s="26" t="s">
        <v>1217</v>
      </c>
      <c r="J295" s="17" t="s">
        <v>1218</v>
      </c>
      <c r="K295" s="17" t="s">
        <v>51</v>
      </c>
      <c r="L295" s="17">
        <v>8</v>
      </c>
      <c r="M295" s="17" t="s">
        <v>1219</v>
      </c>
      <c r="N295" s="17" t="s">
        <v>1220</v>
      </c>
      <c r="O295" s="17" t="s">
        <v>1221</v>
      </c>
      <c r="P295" s="17" t="s">
        <v>1222</v>
      </c>
      <c r="Q295" s="17"/>
      <c r="R295" s="17" t="s">
        <v>1223</v>
      </c>
      <c r="S295" s="17" t="s">
        <v>1224</v>
      </c>
      <c r="T295" s="17" t="s">
        <v>1225</v>
      </c>
      <c r="U295" s="30" t="s">
        <v>58</v>
      </c>
      <c r="V295" s="17"/>
      <c r="W295" s="17"/>
      <c r="X295" s="17"/>
      <c r="Y295" s="17"/>
      <c r="Z295" s="195" t="s">
        <v>1226</v>
      </c>
      <c r="AA295" s="186"/>
      <c r="AB295" s="186"/>
      <c r="AC295" s="186"/>
      <c r="AD295" s="186"/>
      <c r="AE295" s="188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</row>
    <row r="296" spans="1:54" ht="20.25" customHeight="1" x14ac:dyDescent="0.3">
      <c r="A296" s="17">
        <v>54</v>
      </c>
      <c r="B296" s="17" t="s">
        <v>2891</v>
      </c>
      <c r="C296" s="17" t="s">
        <v>1856</v>
      </c>
      <c r="D296" s="17" t="s">
        <v>2891</v>
      </c>
      <c r="E296" s="17" t="s">
        <v>966</v>
      </c>
      <c r="F296" s="17" t="s">
        <v>967</v>
      </c>
      <c r="G296" s="17"/>
      <c r="H296" s="17" t="s">
        <v>969</v>
      </c>
      <c r="I296" s="26" t="s">
        <v>970</v>
      </c>
      <c r="J296" s="17" t="s">
        <v>2892</v>
      </c>
      <c r="K296" s="17" t="s">
        <v>51</v>
      </c>
      <c r="L296" s="17">
        <v>7</v>
      </c>
      <c r="M296" s="17" t="s">
        <v>972</v>
      </c>
      <c r="N296" s="17" t="s">
        <v>973</v>
      </c>
      <c r="O296" s="17" t="s">
        <v>974</v>
      </c>
      <c r="P296" s="17" t="s">
        <v>975</v>
      </c>
      <c r="Q296" s="17"/>
      <c r="R296" s="17" t="s">
        <v>976</v>
      </c>
      <c r="S296" s="17" t="s">
        <v>977</v>
      </c>
      <c r="T296" s="17" t="s">
        <v>978</v>
      </c>
      <c r="U296" s="30" t="s">
        <v>58</v>
      </c>
      <c r="V296" s="17"/>
      <c r="W296" s="17"/>
      <c r="X296" s="17"/>
      <c r="Y296" s="17"/>
      <c r="Z296" s="195" t="s">
        <v>979</v>
      </c>
      <c r="AA296" s="186"/>
      <c r="AB296" s="186"/>
      <c r="AC296" s="186"/>
      <c r="AD296" s="186"/>
      <c r="AE296" s="188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</row>
    <row r="297" spans="1:54" ht="20.25" customHeight="1" x14ac:dyDescent="0.3">
      <c r="A297" s="17">
        <v>55</v>
      </c>
      <c r="B297" s="17" t="s">
        <v>2893</v>
      </c>
      <c r="C297" s="17" t="s">
        <v>1856</v>
      </c>
      <c r="D297" s="17" t="s">
        <v>2893</v>
      </c>
      <c r="E297" s="17" t="s">
        <v>1173</v>
      </c>
      <c r="F297" s="17" t="s">
        <v>1174</v>
      </c>
      <c r="G297" s="17"/>
      <c r="H297" s="17" t="s">
        <v>1176</v>
      </c>
      <c r="I297" s="26" t="s">
        <v>1177</v>
      </c>
      <c r="J297" s="17" t="s">
        <v>1178</v>
      </c>
      <c r="K297" s="17" t="s">
        <v>34</v>
      </c>
      <c r="L297" s="17">
        <v>8</v>
      </c>
      <c r="M297" s="17" t="s">
        <v>1179</v>
      </c>
      <c r="N297" s="17" t="s">
        <v>1180</v>
      </c>
      <c r="O297" s="17" t="s">
        <v>1181</v>
      </c>
      <c r="P297" s="17" t="s">
        <v>1182</v>
      </c>
      <c r="Q297" s="34"/>
      <c r="R297" s="17" t="s">
        <v>1183</v>
      </c>
      <c r="S297" s="17" t="s">
        <v>1184</v>
      </c>
      <c r="T297" s="17" t="s">
        <v>1185</v>
      </c>
      <c r="U297" s="30" t="s">
        <v>58</v>
      </c>
      <c r="V297" s="17"/>
      <c r="W297" s="17"/>
      <c r="X297" s="17"/>
      <c r="Y297" s="17"/>
      <c r="Z297" s="195" t="s">
        <v>1186</v>
      </c>
      <c r="AA297" s="186"/>
      <c r="AB297" s="186"/>
      <c r="AC297" s="186"/>
      <c r="AD297" s="186"/>
      <c r="AE297" s="188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</row>
    <row r="298" spans="1:54" ht="20.25" customHeight="1" x14ac:dyDescent="0.3">
      <c r="A298" s="17">
        <v>56</v>
      </c>
      <c r="B298" s="17" t="s">
        <v>2894</v>
      </c>
      <c r="C298" s="17" t="s">
        <v>1856</v>
      </c>
      <c r="D298" s="17" t="s">
        <v>2894</v>
      </c>
      <c r="E298" s="17" t="s">
        <v>166</v>
      </c>
      <c r="F298" s="17" t="s">
        <v>167</v>
      </c>
      <c r="G298" s="17" t="s">
        <v>168</v>
      </c>
      <c r="H298" s="17" t="s">
        <v>169</v>
      </c>
      <c r="I298" s="26" t="s">
        <v>2479</v>
      </c>
      <c r="J298" s="17" t="s">
        <v>2895</v>
      </c>
      <c r="K298" s="17" t="s">
        <v>34</v>
      </c>
      <c r="L298" s="17">
        <v>1</v>
      </c>
      <c r="M298" s="17" t="s">
        <v>171</v>
      </c>
      <c r="N298" s="17" t="s">
        <v>172</v>
      </c>
      <c r="O298" s="17" t="s">
        <v>173</v>
      </c>
      <c r="P298" s="17" t="s">
        <v>174</v>
      </c>
      <c r="Q298" s="17"/>
      <c r="R298" s="17" t="s">
        <v>175</v>
      </c>
      <c r="S298" s="17" t="s">
        <v>176</v>
      </c>
      <c r="T298" s="17"/>
      <c r="U298" s="30" t="s">
        <v>58</v>
      </c>
      <c r="V298" s="17"/>
      <c r="W298" s="17"/>
      <c r="X298" s="17"/>
      <c r="Y298" s="17"/>
      <c r="Z298" s="195" t="s">
        <v>177</v>
      </c>
      <c r="AA298" s="186"/>
      <c r="AB298" s="186"/>
      <c r="AC298" s="186"/>
      <c r="AD298" s="186"/>
      <c r="AE298" s="188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</row>
    <row r="299" spans="1:54" ht="20.25" customHeight="1" x14ac:dyDescent="0.3">
      <c r="A299" s="17">
        <v>57</v>
      </c>
      <c r="B299" s="17" t="s">
        <v>2896</v>
      </c>
      <c r="C299" s="17" t="s">
        <v>1856</v>
      </c>
      <c r="D299" s="17" t="s">
        <v>2896</v>
      </c>
      <c r="E299" s="17" t="s">
        <v>1529</v>
      </c>
      <c r="F299" s="17" t="s">
        <v>1530</v>
      </c>
      <c r="G299" s="17" t="s">
        <v>1531</v>
      </c>
      <c r="H299" s="17" t="s">
        <v>1532</v>
      </c>
      <c r="I299" s="26" t="s">
        <v>898</v>
      </c>
      <c r="J299" s="17" t="s">
        <v>1533</v>
      </c>
      <c r="K299" s="17" t="s">
        <v>34</v>
      </c>
      <c r="L299" s="17">
        <v>10</v>
      </c>
      <c r="M299" s="17" t="s">
        <v>1534</v>
      </c>
      <c r="N299" s="17" t="s">
        <v>1535</v>
      </c>
      <c r="O299" s="17" t="s">
        <v>1536</v>
      </c>
      <c r="P299" s="17" t="s">
        <v>1537</v>
      </c>
      <c r="Q299" s="17"/>
      <c r="R299" s="17"/>
      <c r="S299" s="17" t="s">
        <v>1538</v>
      </c>
      <c r="T299" s="17" t="s">
        <v>1539</v>
      </c>
      <c r="U299" s="30" t="s">
        <v>58</v>
      </c>
      <c r="V299" s="17"/>
      <c r="W299" s="17"/>
      <c r="X299" s="17"/>
      <c r="Y299" s="17"/>
      <c r="Z299" s="195" t="s">
        <v>1540</v>
      </c>
      <c r="AA299" s="186"/>
      <c r="AB299" s="186"/>
      <c r="AC299" s="186"/>
      <c r="AD299" s="186"/>
      <c r="AE299" s="188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</row>
    <row r="300" spans="1:54" ht="20.25" customHeight="1" x14ac:dyDescent="0.3">
      <c r="A300" s="17">
        <v>58</v>
      </c>
      <c r="B300" s="17" t="s">
        <v>2897</v>
      </c>
      <c r="C300" s="17" t="s">
        <v>1856</v>
      </c>
      <c r="D300" s="17" t="s">
        <v>2897</v>
      </c>
      <c r="E300" s="17" t="s">
        <v>286</v>
      </c>
      <c r="F300" s="17" t="s">
        <v>287</v>
      </c>
      <c r="G300" s="17" t="s">
        <v>288</v>
      </c>
      <c r="H300" s="17" t="s">
        <v>289</v>
      </c>
      <c r="I300" s="26" t="s">
        <v>290</v>
      </c>
      <c r="J300" s="17" t="s">
        <v>291</v>
      </c>
      <c r="K300" s="17" t="s">
        <v>34</v>
      </c>
      <c r="L300" s="17">
        <v>2</v>
      </c>
      <c r="M300" s="17" t="s">
        <v>292</v>
      </c>
      <c r="N300" s="17" t="s">
        <v>293</v>
      </c>
      <c r="O300" s="17" t="s">
        <v>294</v>
      </c>
      <c r="P300" s="17" t="s">
        <v>295</v>
      </c>
      <c r="Q300" s="17"/>
      <c r="R300" s="17" t="s">
        <v>296</v>
      </c>
      <c r="S300" s="17" t="s">
        <v>297</v>
      </c>
      <c r="T300" s="17"/>
      <c r="U300" s="30" t="s">
        <v>58</v>
      </c>
      <c r="V300" s="17"/>
      <c r="W300" s="17"/>
      <c r="X300" s="17"/>
      <c r="Y300" s="17"/>
      <c r="Z300" s="195" t="s">
        <v>177</v>
      </c>
      <c r="AA300" s="186"/>
      <c r="AB300" s="186"/>
      <c r="AC300" s="186"/>
      <c r="AD300" s="186"/>
      <c r="AE300" s="188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</row>
    <row r="301" spans="1:54" ht="20.25" customHeight="1" x14ac:dyDescent="0.3">
      <c r="A301" s="17">
        <v>59</v>
      </c>
      <c r="B301" s="17" t="s">
        <v>2898</v>
      </c>
      <c r="C301" s="17" t="s">
        <v>1856</v>
      </c>
      <c r="D301" s="17" t="s">
        <v>2898</v>
      </c>
      <c r="E301" s="17" t="s">
        <v>2899</v>
      </c>
      <c r="F301" s="17" t="s">
        <v>2900</v>
      </c>
      <c r="G301" s="17" t="s">
        <v>2901</v>
      </c>
      <c r="H301" s="17" t="s">
        <v>2902</v>
      </c>
      <c r="I301" s="26" t="s">
        <v>838</v>
      </c>
      <c r="J301" s="17" t="s">
        <v>2903</v>
      </c>
      <c r="K301" s="17" t="s">
        <v>34</v>
      </c>
      <c r="L301" s="17">
        <v>11</v>
      </c>
      <c r="M301" s="17" t="s">
        <v>2904</v>
      </c>
      <c r="N301" s="17" t="s">
        <v>2905</v>
      </c>
      <c r="O301" s="17" t="s">
        <v>2906</v>
      </c>
      <c r="P301" s="17" t="s">
        <v>2907</v>
      </c>
      <c r="Q301" s="17"/>
      <c r="R301" s="17" t="s">
        <v>2908</v>
      </c>
      <c r="S301" s="17" t="s">
        <v>2909</v>
      </c>
      <c r="T301" s="17" t="s">
        <v>2910</v>
      </c>
      <c r="U301" s="30" t="s">
        <v>58</v>
      </c>
      <c r="V301" s="17"/>
      <c r="W301" s="17"/>
      <c r="X301" s="17"/>
      <c r="Y301" s="17"/>
      <c r="Z301" s="195" t="s">
        <v>2911</v>
      </c>
      <c r="AA301" s="186"/>
      <c r="AB301" s="186"/>
      <c r="AC301" s="186"/>
      <c r="AD301" s="186"/>
      <c r="AE301" s="188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 t="s">
        <v>415</v>
      </c>
    </row>
    <row r="302" spans="1:54" ht="20.25" customHeight="1" x14ac:dyDescent="0.3">
      <c r="A302" s="17">
        <v>60</v>
      </c>
      <c r="B302" s="17" t="s">
        <v>2912</v>
      </c>
      <c r="C302" s="17" t="s">
        <v>1856</v>
      </c>
      <c r="D302" s="17" t="s">
        <v>2912</v>
      </c>
      <c r="E302" s="17" t="s">
        <v>1688</v>
      </c>
      <c r="F302" s="17" t="s">
        <v>1689</v>
      </c>
      <c r="G302" s="17" t="s">
        <v>1690</v>
      </c>
      <c r="H302" s="17" t="s">
        <v>1691</v>
      </c>
      <c r="I302" s="26" t="s">
        <v>1692</v>
      </c>
      <c r="J302" s="17" t="s">
        <v>1693</v>
      </c>
      <c r="K302" s="17" t="s">
        <v>51</v>
      </c>
      <c r="L302" s="17">
        <v>11</v>
      </c>
      <c r="M302" s="17" t="s">
        <v>1694</v>
      </c>
      <c r="N302" s="17" t="s">
        <v>1695</v>
      </c>
      <c r="O302" s="17" t="s">
        <v>1696</v>
      </c>
      <c r="P302" s="17" t="s">
        <v>2913</v>
      </c>
      <c r="Q302" s="17"/>
      <c r="R302" s="17" t="s">
        <v>1698</v>
      </c>
      <c r="S302" s="17" t="s">
        <v>1699</v>
      </c>
      <c r="T302" s="17" t="s">
        <v>1700</v>
      </c>
      <c r="U302" s="30" t="s">
        <v>58</v>
      </c>
      <c r="V302" s="17"/>
      <c r="W302" s="17"/>
      <c r="X302" s="17"/>
      <c r="Y302" s="17"/>
      <c r="Z302" s="195" t="s">
        <v>1701</v>
      </c>
      <c r="AA302" s="186"/>
      <c r="AB302" s="186"/>
      <c r="AC302" s="186"/>
      <c r="AD302" s="186"/>
      <c r="AE302" s="188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 t="s">
        <v>415</v>
      </c>
    </row>
    <row r="303" spans="1:54" ht="20.25" customHeight="1" x14ac:dyDescent="0.3">
      <c r="A303" s="17">
        <v>61</v>
      </c>
      <c r="B303" s="17" t="s">
        <v>2914</v>
      </c>
      <c r="C303" s="17" t="s">
        <v>1856</v>
      </c>
      <c r="D303" s="17" t="s">
        <v>2914</v>
      </c>
      <c r="E303" s="17" t="s">
        <v>666</v>
      </c>
      <c r="F303" s="17" t="s">
        <v>667</v>
      </c>
      <c r="G303" s="17" t="s">
        <v>192</v>
      </c>
      <c r="H303" s="17" t="s">
        <v>668</v>
      </c>
      <c r="I303" s="26" t="s">
        <v>669</v>
      </c>
      <c r="J303" s="17" t="s">
        <v>670</v>
      </c>
      <c r="K303" s="17" t="s">
        <v>51</v>
      </c>
      <c r="L303" s="17">
        <v>5</v>
      </c>
      <c r="M303" s="17" t="s">
        <v>671</v>
      </c>
      <c r="N303" s="17" t="s">
        <v>672</v>
      </c>
      <c r="O303" s="17" t="s">
        <v>673</v>
      </c>
      <c r="P303" s="17" t="s">
        <v>674</v>
      </c>
      <c r="Q303" s="17"/>
      <c r="R303" s="17" t="s">
        <v>675</v>
      </c>
      <c r="S303" s="17" t="s">
        <v>676</v>
      </c>
      <c r="T303" s="17" t="s">
        <v>677</v>
      </c>
      <c r="U303" s="30" t="s">
        <v>58</v>
      </c>
      <c r="V303" s="17"/>
      <c r="W303" s="17"/>
      <c r="X303" s="17"/>
      <c r="Y303" s="17"/>
      <c r="Z303" s="195" t="s">
        <v>678</v>
      </c>
      <c r="AA303" s="186"/>
      <c r="AB303" s="186"/>
      <c r="AC303" s="186"/>
      <c r="AD303" s="186"/>
      <c r="AE303" s="188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</row>
    <row r="304" spans="1:54" ht="20.25" customHeight="1" x14ac:dyDescent="0.3">
      <c r="A304" s="17">
        <v>62</v>
      </c>
      <c r="B304" s="17" t="s">
        <v>2915</v>
      </c>
      <c r="C304" s="17" t="s">
        <v>1856</v>
      </c>
      <c r="D304" s="17" t="s">
        <v>2915</v>
      </c>
      <c r="E304" s="17" t="s">
        <v>72</v>
      </c>
      <c r="F304" s="17" t="s">
        <v>73</v>
      </c>
      <c r="G304" s="17" t="s">
        <v>74</v>
      </c>
      <c r="H304" s="17" t="s">
        <v>75</v>
      </c>
      <c r="I304" s="26" t="s">
        <v>64</v>
      </c>
      <c r="J304" s="17" t="s">
        <v>76</v>
      </c>
      <c r="K304" s="17" t="s">
        <v>51</v>
      </c>
      <c r="L304" s="17" t="s">
        <v>35</v>
      </c>
      <c r="M304" s="17" t="s">
        <v>77</v>
      </c>
      <c r="N304" s="17" t="s">
        <v>78</v>
      </c>
      <c r="O304" s="17" t="s">
        <v>2916</v>
      </c>
      <c r="P304" s="17" t="s">
        <v>80</v>
      </c>
      <c r="Q304" s="17"/>
      <c r="R304" s="17" t="s">
        <v>81</v>
      </c>
      <c r="S304" s="17" t="s">
        <v>82</v>
      </c>
      <c r="T304" s="17"/>
      <c r="U304" s="30" t="s">
        <v>58</v>
      </c>
      <c r="V304" s="17"/>
      <c r="W304" s="17"/>
      <c r="X304" s="17"/>
      <c r="Y304" s="17"/>
      <c r="Z304" s="195" t="s">
        <v>83</v>
      </c>
      <c r="AA304" s="186"/>
      <c r="AB304" s="186"/>
      <c r="AC304" s="186"/>
      <c r="AD304" s="186"/>
      <c r="AE304" s="188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</row>
    <row r="305" spans="1:54" ht="20.25" customHeight="1" x14ac:dyDescent="0.3">
      <c r="A305" s="17">
        <v>63</v>
      </c>
      <c r="B305" s="17" t="s">
        <v>2917</v>
      </c>
      <c r="C305" s="17" t="s">
        <v>1856</v>
      </c>
      <c r="D305" s="17" t="s">
        <v>2917</v>
      </c>
      <c r="E305" s="17" t="s">
        <v>60</v>
      </c>
      <c r="F305" s="17" t="s">
        <v>2918</v>
      </c>
      <c r="G305" s="17" t="s">
        <v>62</v>
      </c>
      <c r="H305" s="17" t="s">
        <v>63</v>
      </c>
      <c r="I305" s="26" t="s">
        <v>64</v>
      </c>
      <c r="J305" s="17" t="s">
        <v>65</v>
      </c>
      <c r="K305" s="17" t="s">
        <v>34</v>
      </c>
      <c r="L305" s="17" t="s">
        <v>35</v>
      </c>
      <c r="M305" s="17" t="s">
        <v>66</v>
      </c>
      <c r="N305" s="17" t="s">
        <v>67</v>
      </c>
      <c r="O305" s="17" t="s">
        <v>68</v>
      </c>
      <c r="P305" s="17" t="s">
        <v>69</v>
      </c>
      <c r="Q305" s="17"/>
      <c r="R305" s="17" t="s">
        <v>70</v>
      </c>
      <c r="S305" s="17" t="s">
        <v>71</v>
      </c>
      <c r="T305" s="17"/>
      <c r="U305" s="30" t="s">
        <v>58</v>
      </c>
      <c r="V305" s="17"/>
      <c r="W305" s="17"/>
      <c r="X305" s="17"/>
      <c r="Y305" s="17"/>
      <c r="Z305" s="195" t="s">
        <v>59</v>
      </c>
      <c r="AA305" s="186"/>
      <c r="AB305" s="186"/>
      <c r="AC305" s="186"/>
      <c r="AD305" s="186"/>
      <c r="AE305" s="188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</row>
    <row r="306" spans="1:54" ht="20.25" customHeight="1" x14ac:dyDescent="0.3">
      <c r="A306" s="17">
        <v>64</v>
      </c>
      <c r="B306" s="17" t="s">
        <v>2919</v>
      </c>
      <c r="C306" s="17" t="s">
        <v>1856</v>
      </c>
      <c r="D306" s="17" t="s">
        <v>2919</v>
      </c>
      <c r="E306" s="17" t="s">
        <v>45</v>
      </c>
      <c r="F306" s="17" t="s">
        <v>2920</v>
      </c>
      <c r="G306" s="17" t="s">
        <v>47</v>
      </c>
      <c r="H306" s="17" t="s">
        <v>48</v>
      </c>
      <c r="I306" s="95" t="s">
        <v>49</v>
      </c>
      <c r="J306" s="17" t="s">
        <v>50</v>
      </c>
      <c r="K306" s="17" t="s">
        <v>51</v>
      </c>
      <c r="L306" s="17" t="s">
        <v>35</v>
      </c>
      <c r="M306" s="17" t="s">
        <v>52</v>
      </c>
      <c r="N306" s="17" t="s">
        <v>53</v>
      </c>
      <c r="O306" s="17" t="s">
        <v>54</v>
      </c>
      <c r="P306" s="17" t="s">
        <v>55</v>
      </c>
      <c r="Q306" s="17"/>
      <c r="R306" s="17" t="s">
        <v>56</v>
      </c>
      <c r="S306" s="17" t="s">
        <v>57</v>
      </c>
      <c r="T306" s="17"/>
      <c r="U306" s="30" t="s">
        <v>58</v>
      </c>
      <c r="V306" s="17"/>
      <c r="W306" s="17"/>
      <c r="X306" s="17"/>
      <c r="Y306" s="17"/>
      <c r="Z306" s="195" t="s">
        <v>59</v>
      </c>
      <c r="AA306" s="186"/>
      <c r="AB306" s="186"/>
      <c r="AC306" s="186"/>
      <c r="AD306" s="186"/>
      <c r="AE306" s="188"/>
    </row>
    <row r="307" spans="1:54" ht="20.25" customHeight="1" x14ac:dyDescent="0.3">
      <c r="A307" s="17">
        <v>65</v>
      </c>
      <c r="B307" s="17" t="s">
        <v>2921</v>
      </c>
      <c r="C307" s="17" t="s">
        <v>1856</v>
      </c>
      <c r="D307" s="17" t="s">
        <v>2921</v>
      </c>
      <c r="E307" s="17" t="s">
        <v>952</v>
      </c>
      <c r="F307" s="17" t="s">
        <v>953</v>
      </c>
      <c r="G307" s="17" t="s">
        <v>954</v>
      </c>
      <c r="H307" s="17" t="s">
        <v>955</v>
      </c>
      <c r="I307" s="26" t="s">
        <v>956</v>
      </c>
      <c r="J307" s="17" t="s">
        <v>957</v>
      </c>
      <c r="K307" s="17" t="s">
        <v>51</v>
      </c>
      <c r="L307" s="17">
        <v>7</v>
      </c>
      <c r="M307" s="17" t="s">
        <v>958</v>
      </c>
      <c r="N307" s="17" t="s">
        <v>959</v>
      </c>
      <c r="O307" s="17" t="s">
        <v>960</v>
      </c>
      <c r="P307" s="17" t="s">
        <v>961</v>
      </c>
      <c r="Q307" s="17"/>
      <c r="R307" s="17" t="s">
        <v>962</v>
      </c>
      <c r="S307" s="17" t="s">
        <v>963</v>
      </c>
      <c r="T307" s="17" t="s">
        <v>964</v>
      </c>
      <c r="U307" s="30" t="s">
        <v>58</v>
      </c>
      <c r="V307" s="17"/>
      <c r="W307" s="17"/>
      <c r="X307" s="17"/>
      <c r="Y307" s="17"/>
      <c r="Z307" s="195" t="s">
        <v>965</v>
      </c>
      <c r="AA307" s="186"/>
      <c r="AB307" s="186"/>
      <c r="AC307" s="186"/>
      <c r="AD307" s="186"/>
      <c r="AE307" s="188"/>
    </row>
    <row r="308" spans="1:54" ht="20.25" customHeight="1" x14ac:dyDescent="0.3">
      <c r="A308" s="17">
        <v>66</v>
      </c>
      <c r="B308" s="17" t="s">
        <v>2922</v>
      </c>
      <c r="C308" s="17" t="s">
        <v>1856</v>
      </c>
      <c r="D308" s="17" t="s">
        <v>2922</v>
      </c>
      <c r="E308" s="17" t="s">
        <v>1702</v>
      </c>
      <c r="F308" s="17" t="s">
        <v>1703</v>
      </c>
      <c r="G308" s="17" t="s">
        <v>700</v>
      </c>
      <c r="H308" s="17" t="s">
        <v>1704</v>
      </c>
      <c r="I308" s="26" t="s">
        <v>669</v>
      </c>
      <c r="J308" s="17" t="s">
        <v>1705</v>
      </c>
      <c r="K308" s="17" t="s">
        <v>34</v>
      </c>
      <c r="L308" s="17">
        <v>11</v>
      </c>
      <c r="M308" s="17" t="s">
        <v>1706</v>
      </c>
      <c r="N308" s="17" t="s">
        <v>1707</v>
      </c>
      <c r="O308" s="17" t="s">
        <v>1708</v>
      </c>
      <c r="P308" s="17" t="s">
        <v>1709</v>
      </c>
      <c r="Q308" s="17"/>
      <c r="R308" s="17" t="s">
        <v>1710</v>
      </c>
      <c r="S308" s="17" t="s">
        <v>1711</v>
      </c>
      <c r="T308" s="17" t="s">
        <v>1712</v>
      </c>
      <c r="U308" s="30" t="s">
        <v>1713</v>
      </c>
      <c r="V308" s="17"/>
      <c r="W308" s="17"/>
      <c r="X308" s="17"/>
      <c r="Y308" s="17"/>
      <c r="Z308" s="195" t="s">
        <v>1714</v>
      </c>
      <c r="AA308" s="186"/>
      <c r="AB308" s="186"/>
      <c r="AC308" s="186"/>
      <c r="AD308" s="186"/>
      <c r="AE308" s="188"/>
    </row>
    <row r="309" spans="1:54" ht="20.25" customHeight="1" x14ac:dyDescent="0.3">
      <c r="A309" s="17">
        <v>67</v>
      </c>
      <c r="B309" s="17" t="s">
        <v>2923</v>
      </c>
      <c r="C309" s="17" t="s">
        <v>1856</v>
      </c>
      <c r="D309" s="17" t="s">
        <v>2923</v>
      </c>
      <c r="E309" s="17" t="s">
        <v>1829</v>
      </c>
      <c r="F309" s="17" t="s">
        <v>1830</v>
      </c>
      <c r="G309" s="17" t="s">
        <v>1831</v>
      </c>
      <c r="H309" s="17" t="s">
        <v>1832</v>
      </c>
      <c r="I309" s="26" t="s">
        <v>1833</v>
      </c>
      <c r="J309" s="17" t="s">
        <v>1834</v>
      </c>
      <c r="K309" s="17" t="s">
        <v>51</v>
      </c>
      <c r="L309" s="17">
        <v>12</v>
      </c>
      <c r="M309" s="17" t="s">
        <v>1835</v>
      </c>
      <c r="N309" s="17" t="s">
        <v>1494</v>
      </c>
      <c r="O309" s="17" t="s">
        <v>1495</v>
      </c>
      <c r="P309" s="17" t="s">
        <v>1836</v>
      </c>
      <c r="Q309" s="17"/>
      <c r="R309" s="17" t="s">
        <v>1497</v>
      </c>
      <c r="S309" s="17" t="s">
        <v>1498</v>
      </c>
      <c r="T309" s="17"/>
      <c r="U309" s="30" t="s">
        <v>1837</v>
      </c>
      <c r="V309" s="17"/>
      <c r="W309" s="17"/>
      <c r="X309" s="17"/>
      <c r="Y309" s="17"/>
      <c r="Z309" s="195" t="s">
        <v>1838</v>
      </c>
      <c r="AA309" s="186"/>
      <c r="AB309" s="186"/>
      <c r="AC309" s="186"/>
      <c r="AD309" s="186"/>
      <c r="AE309" s="188"/>
    </row>
    <row r="310" spans="1:54" ht="20.25" customHeight="1" x14ac:dyDescent="0.3">
      <c r="A310" s="17">
        <v>68</v>
      </c>
      <c r="B310" s="17" t="s">
        <v>311</v>
      </c>
      <c r="C310" s="17" t="s">
        <v>1856</v>
      </c>
      <c r="D310" s="17" t="s">
        <v>311</v>
      </c>
      <c r="E310" s="17" t="s">
        <v>298</v>
      </c>
      <c r="F310" s="17" t="s">
        <v>299</v>
      </c>
      <c r="G310" s="17" t="s">
        <v>300</v>
      </c>
      <c r="H310" s="17" t="s">
        <v>301</v>
      </c>
      <c r="I310" s="26" t="s">
        <v>302</v>
      </c>
      <c r="J310" s="17" t="s">
        <v>303</v>
      </c>
      <c r="K310" s="17" t="s">
        <v>51</v>
      </c>
      <c r="L310" s="17">
        <v>2</v>
      </c>
      <c r="M310" s="17" t="s">
        <v>304</v>
      </c>
      <c r="N310" s="17" t="s">
        <v>305</v>
      </c>
      <c r="O310" s="17" t="s">
        <v>306</v>
      </c>
      <c r="P310" s="17" t="s">
        <v>307</v>
      </c>
      <c r="Q310" s="17"/>
      <c r="R310" s="17" t="s">
        <v>308</v>
      </c>
      <c r="S310" s="17" t="s">
        <v>309</v>
      </c>
      <c r="T310" s="17" t="s">
        <v>310</v>
      </c>
      <c r="U310" s="30" t="s">
        <v>311</v>
      </c>
      <c r="V310" s="17"/>
      <c r="W310" s="17"/>
      <c r="X310" s="17"/>
      <c r="Y310" s="17"/>
      <c r="Z310" s="195" t="s">
        <v>312</v>
      </c>
      <c r="AA310" s="186"/>
      <c r="AB310" s="186"/>
      <c r="AC310" s="186"/>
      <c r="AD310" s="186"/>
      <c r="AE310" s="188"/>
    </row>
    <row r="311" spans="1:54" ht="20.25" customHeight="1" x14ac:dyDescent="0.3">
      <c r="A311" s="17">
        <v>69</v>
      </c>
      <c r="B311" s="17" t="s">
        <v>311</v>
      </c>
      <c r="C311" s="17" t="s">
        <v>1856</v>
      </c>
      <c r="D311" s="17" t="s">
        <v>311</v>
      </c>
      <c r="E311" s="17" t="s">
        <v>489</v>
      </c>
      <c r="F311" s="17" t="s">
        <v>490</v>
      </c>
      <c r="G311" s="17" t="s">
        <v>491</v>
      </c>
      <c r="H311" s="17" t="s">
        <v>492</v>
      </c>
      <c r="I311" s="26" t="s">
        <v>493</v>
      </c>
      <c r="J311" s="17" t="s">
        <v>2924</v>
      </c>
      <c r="K311" s="17" t="s">
        <v>51</v>
      </c>
      <c r="L311" s="17">
        <v>3</v>
      </c>
      <c r="M311" s="17" t="s">
        <v>495</v>
      </c>
      <c r="N311" s="17" t="s">
        <v>496</v>
      </c>
      <c r="O311" s="17" t="s">
        <v>497</v>
      </c>
      <c r="P311" s="17" t="s">
        <v>498</v>
      </c>
      <c r="Q311" s="17"/>
      <c r="R311" s="17" t="s">
        <v>499</v>
      </c>
      <c r="S311" s="17" t="s">
        <v>500</v>
      </c>
      <c r="T311" s="17" t="s">
        <v>501</v>
      </c>
      <c r="U311" s="30" t="s">
        <v>311</v>
      </c>
      <c r="V311" s="17"/>
      <c r="W311" s="17"/>
      <c r="X311" s="17"/>
      <c r="Y311" s="17"/>
      <c r="Z311" s="195" t="s">
        <v>312</v>
      </c>
      <c r="AA311" s="186"/>
      <c r="AB311" s="186"/>
      <c r="AC311" s="186"/>
      <c r="AD311" s="186"/>
      <c r="AE311" s="188"/>
    </row>
    <row r="312" spans="1:54" ht="20.25" customHeight="1" x14ac:dyDescent="0.3">
      <c r="A312" s="17">
        <v>70</v>
      </c>
      <c r="B312" s="17" t="s">
        <v>2925</v>
      </c>
      <c r="C312" s="17" t="s">
        <v>1856</v>
      </c>
      <c r="D312" s="17" t="s">
        <v>2925</v>
      </c>
      <c r="E312" s="17" t="s">
        <v>1405</v>
      </c>
      <c r="F312" s="17" t="s">
        <v>1406</v>
      </c>
      <c r="G312" s="17" t="s">
        <v>1407</v>
      </c>
      <c r="H312" s="17" t="s">
        <v>1408</v>
      </c>
      <c r="I312" s="26" t="s">
        <v>1409</v>
      </c>
      <c r="J312" s="17" t="s">
        <v>1410</v>
      </c>
      <c r="K312" s="17" t="s">
        <v>51</v>
      </c>
      <c r="L312" s="17">
        <v>9</v>
      </c>
      <c r="M312" s="17" t="s">
        <v>1411</v>
      </c>
      <c r="N312" s="17" t="s">
        <v>1412</v>
      </c>
      <c r="O312" s="17" t="s">
        <v>1413</v>
      </c>
      <c r="P312" s="17" t="s">
        <v>1414</v>
      </c>
      <c r="Q312" s="17"/>
      <c r="R312" s="17" t="s">
        <v>1415</v>
      </c>
      <c r="S312" s="17" t="s">
        <v>1416</v>
      </c>
      <c r="T312" s="17" t="s">
        <v>1417</v>
      </c>
      <c r="U312" s="30" t="s">
        <v>1418</v>
      </c>
      <c r="V312" s="17"/>
      <c r="W312" s="17"/>
      <c r="X312" s="17"/>
      <c r="Y312" s="17"/>
      <c r="Z312" s="195" t="s">
        <v>2926</v>
      </c>
      <c r="AA312" s="186"/>
      <c r="AB312" s="186"/>
      <c r="AC312" s="186"/>
      <c r="AD312" s="186"/>
      <c r="AE312" s="188"/>
    </row>
    <row r="313" spans="1:54" ht="20.25" customHeight="1" x14ac:dyDescent="0.3">
      <c r="A313" s="17">
        <v>71</v>
      </c>
      <c r="B313" s="17" t="s">
        <v>2927</v>
      </c>
      <c r="C313" s="17" t="s">
        <v>1856</v>
      </c>
      <c r="D313" s="17" t="s">
        <v>2927</v>
      </c>
      <c r="E313" s="17" t="s">
        <v>2928</v>
      </c>
      <c r="F313" s="17" t="s">
        <v>2929</v>
      </c>
      <c r="G313" s="17" t="s">
        <v>2930</v>
      </c>
      <c r="H313" s="17" t="s">
        <v>2931</v>
      </c>
      <c r="I313" s="26" t="s">
        <v>49</v>
      </c>
      <c r="J313" s="17" t="s">
        <v>2932</v>
      </c>
      <c r="K313" s="17" t="s">
        <v>51</v>
      </c>
      <c r="L313" s="17">
        <v>11</v>
      </c>
      <c r="M313" s="17" t="s">
        <v>2933</v>
      </c>
      <c r="N313" s="17"/>
      <c r="O313" s="17" t="s">
        <v>2934</v>
      </c>
      <c r="P313" s="17" t="s">
        <v>2935</v>
      </c>
      <c r="Q313" s="17"/>
      <c r="R313" s="17"/>
      <c r="S313" s="17" t="s">
        <v>2936</v>
      </c>
      <c r="T313" s="17" t="s">
        <v>2937</v>
      </c>
      <c r="U313" s="30" t="s">
        <v>2938</v>
      </c>
      <c r="V313" s="17"/>
      <c r="W313" s="17"/>
      <c r="X313" s="17"/>
      <c r="Y313" s="17"/>
      <c r="Z313" s="195" t="s">
        <v>2939</v>
      </c>
      <c r="AA313" s="186"/>
      <c r="AB313" s="186"/>
      <c r="AC313" s="186"/>
      <c r="AD313" s="186"/>
      <c r="AE313" s="188"/>
    </row>
    <row r="314" spans="1:54" ht="20.25" customHeight="1" x14ac:dyDescent="0.3">
      <c r="A314" s="17">
        <v>72</v>
      </c>
      <c r="B314" s="17" t="s">
        <v>2940</v>
      </c>
      <c r="C314" s="17" t="s">
        <v>2941</v>
      </c>
      <c r="D314" s="33" t="s">
        <v>97</v>
      </c>
      <c r="E314" s="17" t="s">
        <v>112</v>
      </c>
      <c r="F314" s="96" t="s">
        <v>113</v>
      </c>
      <c r="G314" s="96" t="s">
        <v>114</v>
      </c>
      <c r="H314" s="96" t="s">
        <v>2942</v>
      </c>
      <c r="I314" s="97" t="s">
        <v>116</v>
      </c>
      <c r="J314" s="96" t="s">
        <v>117</v>
      </c>
      <c r="K314" s="96" t="s">
        <v>51</v>
      </c>
      <c r="L314" s="96" t="s">
        <v>35</v>
      </c>
      <c r="M314" s="96" t="s">
        <v>118</v>
      </c>
      <c r="N314" s="96" t="s">
        <v>119</v>
      </c>
      <c r="O314" s="96" t="s">
        <v>120</v>
      </c>
      <c r="P314" s="96" t="s">
        <v>121</v>
      </c>
      <c r="Q314" s="98"/>
      <c r="R314" s="96" t="s">
        <v>122</v>
      </c>
      <c r="S314" s="96" t="s">
        <v>123</v>
      </c>
      <c r="T314" s="98"/>
      <c r="U314" s="27" t="s">
        <v>110</v>
      </c>
      <c r="V314" s="17"/>
      <c r="W314" s="17"/>
      <c r="X314" s="17"/>
      <c r="Y314" s="17"/>
      <c r="Z314" s="195" t="s">
        <v>124</v>
      </c>
      <c r="AA314" s="186"/>
      <c r="AB314" s="186"/>
      <c r="AC314" s="186"/>
      <c r="AD314" s="186"/>
      <c r="AE314" s="188"/>
    </row>
    <row r="315" spans="1:54" ht="20.25" customHeight="1" x14ac:dyDescent="0.3">
      <c r="A315" s="17"/>
      <c r="B315" s="17"/>
      <c r="C315" s="17"/>
      <c r="D315" s="33" t="s">
        <v>97</v>
      </c>
      <c r="E315" s="17" t="s">
        <v>686</v>
      </c>
      <c r="F315" s="17" t="s">
        <v>687</v>
      </c>
      <c r="G315" s="17" t="s">
        <v>688</v>
      </c>
      <c r="H315" s="17" t="s">
        <v>115</v>
      </c>
      <c r="I315" s="26" t="s">
        <v>669</v>
      </c>
      <c r="J315" s="17" t="s">
        <v>689</v>
      </c>
      <c r="K315" s="17" t="s">
        <v>51</v>
      </c>
      <c r="L315" s="17">
        <v>5</v>
      </c>
      <c r="M315" s="17" t="s">
        <v>690</v>
      </c>
      <c r="N315" s="17" t="s">
        <v>691</v>
      </c>
      <c r="O315" s="17" t="s">
        <v>692</v>
      </c>
      <c r="P315" s="17" t="s">
        <v>693</v>
      </c>
      <c r="Q315" s="17"/>
      <c r="R315" s="17" t="s">
        <v>694</v>
      </c>
      <c r="S315" s="17" t="s">
        <v>695</v>
      </c>
      <c r="T315" s="17" t="s">
        <v>696</v>
      </c>
      <c r="U315" s="27" t="s">
        <v>110</v>
      </c>
      <c r="V315" s="17"/>
      <c r="W315" s="17"/>
      <c r="X315" s="17"/>
      <c r="Y315" s="17"/>
      <c r="Z315" s="195" t="s">
        <v>697</v>
      </c>
      <c r="AA315" s="186"/>
      <c r="AB315" s="186"/>
      <c r="AC315" s="186"/>
      <c r="AD315" s="186"/>
      <c r="AE315" s="188"/>
    </row>
    <row r="316" spans="1:54" ht="20.25" customHeight="1" x14ac:dyDescent="0.3">
      <c r="A316" s="17"/>
      <c r="B316" s="17"/>
      <c r="C316" s="17"/>
      <c r="D316" s="33" t="s">
        <v>97</v>
      </c>
      <c r="E316" s="17" t="s">
        <v>178</v>
      </c>
      <c r="F316" s="17" t="s">
        <v>179</v>
      </c>
      <c r="G316" s="17" t="s">
        <v>180</v>
      </c>
      <c r="H316" s="17" t="s">
        <v>181</v>
      </c>
      <c r="I316" s="26" t="s">
        <v>182</v>
      </c>
      <c r="J316" s="17" t="s">
        <v>183</v>
      </c>
      <c r="K316" s="17" t="s">
        <v>51</v>
      </c>
      <c r="L316" s="17">
        <v>1</v>
      </c>
      <c r="M316" s="17" t="s">
        <v>184</v>
      </c>
      <c r="N316" s="17" t="s">
        <v>185</v>
      </c>
      <c r="O316" s="17" t="s">
        <v>186</v>
      </c>
      <c r="P316" s="17" t="s">
        <v>187</v>
      </c>
      <c r="Q316" s="17"/>
      <c r="R316" s="17"/>
      <c r="S316" s="17" t="s">
        <v>188</v>
      </c>
      <c r="T316" s="17"/>
      <c r="U316" s="27" t="s">
        <v>110</v>
      </c>
      <c r="V316" s="17"/>
      <c r="W316" s="17"/>
      <c r="X316" s="17"/>
      <c r="Y316" s="17"/>
      <c r="Z316" s="195" t="s">
        <v>189</v>
      </c>
      <c r="AA316" s="186"/>
      <c r="AB316" s="186"/>
      <c r="AC316" s="186"/>
      <c r="AD316" s="186"/>
      <c r="AE316" s="188"/>
    </row>
    <row r="317" spans="1:54" ht="20.25" customHeight="1" x14ac:dyDescent="0.3">
      <c r="A317" s="17"/>
      <c r="B317" s="17"/>
      <c r="C317" s="17"/>
      <c r="D317" s="33" t="s">
        <v>97</v>
      </c>
      <c r="E317" s="17" t="s">
        <v>679</v>
      </c>
      <c r="F317" s="17" t="s">
        <v>680</v>
      </c>
      <c r="G317" s="17" t="s">
        <v>681</v>
      </c>
      <c r="H317" s="17" t="s">
        <v>682</v>
      </c>
      <c r="I317" s="26" t="s">
        <v>102</v>
      </c>
      <c r="J317" s="17" t="s">
        <v>103</v>
      </c>
      <c r="K317" s="17" t="s">
        <v>51</v>
      </c>
      <c r="L317" s="17">
        <v>5</v>
      </c>
      <c r="M317" s="17" t="s">
        <v>683</v>
      </c>
      <c r="N317" s="17" t="s">
        <v>105</v>
      </c>
      <c r="O317" s="17" t="s">
        <v>106</v>
      </c>
      <c r="P317" s="17" t="s">
        <v>107</v>
      </c>
      <c r="Q317" s="17"/>
      <c r="R317" s="17" t="s">
        <v>684</v>
      </c>
      <c r="S317" s="17" t="s">
        <v>109</v>
      </c>
      <c r="T317" s="17" t="s">
        <v>685</v>
      </c>
      <c r="U317" s="27" t="s">
        <v>110</v>
      </c>
      <c r="V317" s="17"/>
      <c r="W317" s="17"/>
      <c r="X317" s="17"/>
      <c r="Y317" s="17"/>
      <c r="Z317" s="195" t="s">
        <v>111</v>
      </c>
      <c r="AA317" s="186"/>
      <c r="AB317" s="186"/>
      <c r="AC317" s="186"/>
      <c r="AD317" s="186"/>
      <c r="AE317" s="188"/>
    </row>
    <row r="318" spans="1:54" ht="20.25" customHeight="1" x14ac:dyDescent="0.3">
      <c r="A318" s="17"/>
      <c r="B318" s="17"/>
      <c r="C318" s="17"/>
      <c r="D318" s="33" t="s">
        <v>97</v>
      </c>
      <c r="E318" s="17" t="s">
        <v>98</v>
      </c>
      <c r="F318" s="17" t="s">
        <v>99</v>
      </c>
      <c r="G318" s="17" t="s">
        <v>100</v>
      </c>
      <c r="H318" s="17" t="s">
        <v>101</v>
      </c>
      <c r="I318" s="26" t="s">
        <v>102</v>
      </c>
      <c r="J318" s="17" t="s">
        <v>103</v>
      </c>
      <c r="K318" s="17" t="s">
        <v>51</v>
      </c>
      <c r="L318" s="17" t="s">
        <v>35</v>
      </c>
      <c r="M318" s="17" t="s">
        <v>104</v>
      </c>
      <c r="N318" s="17" t="s">
        <v>105</v>
      </c>
      <c r="O318" s="17" t="s">
        <v>106</v>
      </c>
      <c r="P318" s="17" t="s">
        <v>107</v>
      </c>
      <c r="Q318" s="17"/>
      <c r="R318" s="17" t="s">
        <v>684</v>
      </c>
      <c r="S318" s="17" t="s">
        <v>109</v>
      </c>
      <c r="T318" s="17"/>
      <c r="U318" s="27" t="s">
        <v>110</v>
      </c>
      <c r="V318" s="17"/>
      <c r="W318" s="17"/>
      <c r="X318" s="17"/>
      <c r="Y318" s="17"/>
      <c r="Z318" s="195" t="s">
        <v>111</v>
      </c>
      <c r="AA318" s="186"/>
      <c r="AB318" s="186"/>
      <c r="AC318" s="186"/>
      <c r="AD318" s="186"/>
      <c r="AE318" s="188"/>
    </row>
    <row r="319" spans="1:54" ht="20.25" customHeight="1" x14ac:dyDescent="0.3">
      <c r="A319" s="17"/>
      <c r="B319" s="17"/>
      <c r="C319" s="17"/>
      <c r="D319" s="33" t="s">
        <v>97</v>
      </c>
      <c r="E319" s="17" t="s">
        <v>1377</v>
      </c>
      <c r="F319" s="17" t="s">
        <v>1378</v>
      </c>
      <c r="G319" s="17" t="s">
        <v>192</v>
      </c>
      <c r="H319" s="17" t="s">
        <v>1379</v>
      </c>
      <c r="I319" s="26" t="s">
        <v>956</v>
      </c>
      <c r="J319" s="17" t="s">
        <v>1380</v>
      </c>
      <c r="K319" s="17" t="s">
        <v>51</v>
      </c>
      <c r="L319" s="17">
        <v>9</v>
      </c>
      <c r="M319" s="17" t="s">
        <v>1381</v>
      </c>
      <c r="N319" s="17" t="s">
        <v>1382</v>
      </c>
      <c r="O319" s="17" t="s">
        <v>1383</v>
      </c>
      <c r="P319" s="17" t="s">
        <v>1384</v>
      </c>
      <c r="Q319" s="17"/>
      <c r="R319" s="17" t="s">
        <v>1385</v>
      </c>
      <c r="S319" s="17" t="s">
        <v>1386</v>
      </c>
      <c r="T319" s="17" t="s">
        <v>1387</v>
      </c>
      <c r="U319" s="30" t="s">
        <v>110</v>
      </c>
      <c r="V319" s="17"/>
      <c r="W319" s="17"/>
      <c r="X319" s="17"/>
      <c r="Y319" s="17"/>
      <c r="Z319" s="195" t="s">
        <v>1388</v>
      </c>
      <c r="AA319" s="186"/>
      <c r="AB319" s="186"/>
      <c r="AC319" s="186"/>
      <c r="AD319" s="186"/>
      <c r="AE319" s="188"/>
    </row>
    <row r="320" spans="1:54" ht="20.25" customHeight="1" x14ac:dyDescent="0.3">
      <c r="A320" s="17"/>
      <c r="B320" s="17"/>
      <c r="C320" s="17"/>
      <c r="D320" s="33" t="s">
        <v>97</v>
      </c>
      <c r="E320" s="17" t="s">
        <v>1187</v>
      </c>
      <c r="F320" s="17" t="s">
        <v>1188</v>
      </c>
      <c r="G320" s="17" t="s">
        <v>373</v>
      </c>
      <c r="H320" s="17" t="s">
        <v>1189</v>
      </c>
      <c r="I320" s="26" t="s">
        <v>1190</v>
      </c>
      <c r="J320" s="17" t="s">
        <v>1191</v>
      </c>
      <c r="K320" s="17" t="s">
        <v>34</v>
      </c>
      <c r="L320" s="17">
        <v>8</v>
      </c>
      <c r="M320" s="17" t="s">
        <v>1192</v>
      </c>
      <c r="N320" s="17" t="s">
        <v>1193</v>
      </c>
      <c r="O320" s="17" t="s">
        <v>1194</v>
      </c>
      <c r="P320" s="17" t="s">
        <v>1195</v>
      </c>
      <c r="Q320" s="17"/>
      <c r="R320" s="17" t="s">
        <v>1196</v>
      </c>
      <c r="S320" s="17" t="s">
        <v>1197</v>
      </c>
      <c r="T320" s="17" t="s">
        <v>1198</v>
      </c>
      <c r="U320" s="30" t="s">
        <v>110</v>
      </c>
      <c r="V320" s="17"/>
      <c r="W320" s="17"/>
      <c r="X320" s="17"/>
      <c r="Y320" s="17"/>
      <c r="Z320" s="195" t="s">
        <v>993</v>
      </c>
      <c r="AA320" s="186"/>
      <c r="AB320" s="186"/>
      <c r="AC320" s="186"/>
      <c r="AD320" s="186"/>
      <c r="AE320" s="188"/>
    </row>
    <row r="321" spans="1:31" ht="20.25" customHeight="1" x14ac:dyDescent="0.3">
      <c r="A321" s="17"/>
      <c r="B321" s="17"/>
      <c r="C321" s="17"/>
      <c r="D321" s="33" t="s">
        <v>97</v>
      </c>
      <c r="E321" s="17" t="s">
        <v>465</v>
      </c>
      <c r="F321" s="17" t="s">
        <v>466</v>
      </c>
      <c r="G321" s="17" t="s">
        <v>467</v>
      </c>
      <c r="H321" s="17" t="s">
        <v>468</v>
      </c>
      <c r="I321" s="26" t="s">
        <v>469</v>
      </c>
      <c r="J321" s="17" t="s">
        <v>470</v>
      </c>
      <c r="K321" s="17" t="s">
        <v>51</v>
      </c>
      <c r="L321" s="17">
        <v>3</v>
      </c>
      <c r="M321" s="17" t="s">
        <v>471</v>
      </c>
      <c r="N321" s="17" t="s">
        <v>472</v>
      </c>
      <c r="O321" s="17" t="s">
        <v>473</v>
      </c>
      <c r="P321" s="17" t="s">
        <v>474</v>
      </c>
      <c r="Q321" s="17"/>
      <c r="R321" s="17" t="s">
        <v>475</v>
      </c>
      <c r="S321" s="17" t="s">
        <v>476</v>
      </c>
      <c r="T321" s="17" t="s">
        <v>477</v>
      </c>
      <c r="U321" s="30" t="s">
        <v>110</v>
      </c>
      <c r="V321" s="17"/>
      <c r="W321" s="17"/>
      <c r="X321" s="17"/>
      <c r="Y321" s="17"/>
      <c r="Z321" s="195" t="s">
        <v>478</v>
      </c>
      <c r="AA321" s="186"/>
      <c r="AB321" s="186"/>
      <c r="AC321" s="186"/>
      <c r="AD321" s="186"/>
      <c r="AE321" s="188"/>
    </row>
    <row r="322" spans="1:31" ht="20.25" customHeight="1" x14ac:dyDescent="0.3">
      <c r="A322" s="17"/>
      <c r="B322" s="17"/>
      <c r="C322" s="17"/>
      <c r="D322" s="33" t="s">
        <v>97</v>
      </c>
      <c r="E322" s="17" t="s">
        <v>980</v>
      </c>
      <c r="F322" s="17" t="s">
        <v>981</v>
      </c>
      <c r="G322" s="17" t="s">
        <v>982</v>
      </c>
      <c r="H322" s="17" t="s">
        <v>983</v>
      </c>
      <c r="I322" s="26" t="s">
        <v>984</v>
      </c>
      <c r="J322" s="17" t="s">
        <v>985</v>
      </c>
      <c r="K322" s="17" t="s">
        <v>34</v>
      </c>
      <c r="L322" s="17">
        <v>7</v>
      </c>
      <c r="M322" s="17" t="s">
        <v>986</v>
      </c>
      <c r="N322" s="17" t="s">
        <v>987</v>
      </c>
      <c r="O322" s="17" t="s">
        <v>988</v>
      </c>
      <c r="P322" s="17" t="s">
        <v>989</v>
      </c>
      <c r="Q322" s="17"/>
      <c r="R322" s="17" t="s">
        <v>990</v>
      </c>
      <c r="S322" s="17" t="s">
        <v>991</v>
      </c>
      <c r="T322" s="17" t="s">
        <v>992</v>
      </c>
      <c r="U322" s="30" t="s">
        <v>110</v>
      </c>
      <c r="V322" s="17"/>
      <c r="W322" s="17"/>
      <c r="X322" s="17"/>
      <c r="Y322" s="17"/>
      <c r="Z322" s="195" t="s">
        <v>993</v>
      </c>
      <c r="AA322" s="186"/>
      <c r="AB322" s="186"/>
      <c r="AC322" s="186"/>
      <c r="AD322" s="186"/>
      <c r="AE322" s="188"/>
    </row>
    <row r="323" spans="1:31" ht="20.25" customHeight="1" x14ac:dyDescent="0.3">
      <c r="A323" s="17"/>
      <c r="B323" s="17"/>
      <c r="C323" s="17"/>
      <c r="D323" s="33" t="s">
        <v>97</v>
      </c>
      <c r="E323" s="17" t="s">
        <v>190</v>
      </c>
      <c r="F323" s="17" t="s">
        <v>191</v>
      </c>
      <c r="G323" s="17" t="s">
        <v>192</v>
      </c>
      <c r="H323" s="17" t="s">
        <v>193</v>
      </c>
      <c r="I323" s="26" t="s">
        <v>194</v>
      </c>
      <c r="J323" s="17" t="s">
        <v>195</v>
      </c>
      <c r="K323" s="17" t="s">
        <v>51</v>
      </c>
      <c r="L323" s="17">
        <v>1</v>
      </c>
      <c r="M323" s="17" t="s">
        <v>196</v>
      </c>
      <c r="N323" s="17" t="s">
        <v>197</v>
      </c>
      <c r="O323" s="17" t="s">
        <v>28</v>
      </c>
      <c r="P323" s="17" t="s">
        <v>198</v>
      </c>
      <c r="Q323" s="17"/>
      <c r="R323" s="17" t="s">
        <v>199</v>
      </c>
      <c r="S323" s="17" t="s">
        <v>200</v>
      </c>
      <c r="T323" s="17"/>
      <c r="U323" s="30" t="s">
        <v>110</v>
      </c>
      <c r="V323" s="17"/>
      <c r="W323" s="17"/>
      <c r="X323" s="17"/>
      <c r="Y323" s="17"/>
      <c r="Z323" s="195" t="s">
        <v>201</v>
      </c>
      <c r="AA323" s="186"/>
      <c r="AB323" s="186"/>
      <c r="AC323" s="186"/>
      <c r="AD323" s="186"/>
      <c r="AE323" s="188"/>
    </row>
    <row r="324" spans="1:31" ht="20.25" customHeight="1" x14ac:dyDescent="0.3">
      <c r="A324" s="17"/>
      <c r="B324" s="17"/>
      <c r="C324" s="17"/>
      <c r="D324" s="33" t="s">
        <v>97</v>
      </c>
      <c r="E324" s="17" t="s">
        <v>1389</v>
      </c>
      <c r="F324" s="17" t="s">
        <v>1390</v>
      </c>
      <c r="G324" s="17" t="s">
        <v>1391</v>
      </c>
      <c r="H324" s="17" t="s">
        <v>1392</v>
      </c>
      <c r="I324" s="26" t="s">
        <v>1393</v>
      </c>
      <c r="J324" s="17" t="s">
        <v>1394</v>
      </c>
      <c r="K324" s="17" t="s">
        <v>34</v>
      </c>
      <c r="L324" s="17">
        <v>9</v>
      </c>
      <c r="M324" s="17" t="s">
        <v>1395</v>
      </c>
      <c r="N324" s="17" t="s">
        <v>1396</v>
      </c>
      <c r="O324" s="17" t="s">
        <v>1397</v>
      </c>
      <c r="P324" s="17" t="s">
        <v>1398</v>
      </c>
      <c r="Q324" s="17"/>
      <c r="R324" s="17" t="s">
        <v>1399</v>
      </c>
      <c r="S324" s="17" t="s">
        <v>1400</v>
      </c>
      <c r="T324" s="17" t="s">
        <v>1401</v>
      </c>
      <c r="U324" s="30" t="s">
        <v>110</v>
      </c>
      <c r="V324" s="17"/>
      <c r="W324" s="17"/>
      <c r="X324" s="17"/>
      <c r="Y324" s="17"/>
      <c r="Z324" s="195" t="s">
        <v>201</v>
      </c>
      <c r="AA324" s="186"/>
      <c r="AB324" s="186"/>
      <c r="AC324" s="186"/>
      <c r="AD324" s="186"/>
      <c r="AE324" s="188"/>
    </row>
    <row r="325" spans="1:31" ht="20.25" customHeight="1" x14ac:dyDescent="0.3">
      <c r="A325" s="17"/>
      <c r="B325" s="17"/>
      <c r="C325" s="17"/>
      <c r="D325" s="33" t="s">
        <v>97</v>
      </c>
      <c r="E325" s="17" t="s">
        <v>821</v>
      </c>
      <c r="F325" s="17" t="s">
        <v>822</v>
      </c>
      <c r="G325" s="17"/>
      <c r="H325" s="17" t="s">
        <v>824</v>
      </c>
      <c r="I325" s="26" t="s">
        <v>206</v>
      </c>
      <c r="J325" s="17" t="s">
        <v>825</v>
      </c>
      <c r="K325" s="17" t="s">
        <v>51</v>
      </c>
      <c r="L325" s="17">
        <v>6</v>
      </c>
      <c r="M325" s="17" t="s">
        <v>826</v>
      </c>
      <c r="N325" s="17" t="s">
        <v>827</v>
      </c>
      <c r="O325" s="17" t="s">
        <v>828</v>
      </c>
      <c r="P325" s="17" t="s">
        <v>829</v>
      </c>
      <c r="Q325" s="17"/>
      <c r="R325" s="17" t="s">
        <v>830</v>
      </c>
      <c r="S325" s="17" t="s">
        <v>831</v>
      </c>
      <c r="T325" s="17" t="s">
        <v>832</v>
      </c>
      <c r="U325" s="30" t="s">
        <v>110</v>
      </c>
      <c r="V325" s="17"/>
      <c r="W325" s="17"/>
      <c r="X325" s="17"/>
      <c r="Y325" s="17"/>
      <c r="Z325" s="195" t="s">
        <v>833</v>
      </c>
      <c r="AA325" s="186"/>
      <c r="AB325" s="186"/>
      <c r="AC325" s="186"/>
      <c r="AD325" s="186"/>
      <c r="AE325" s="188"/>
    </row>
    <row r="326" spans="1:31" ht="20.25" customHeight="1" x14ac:dyDescent="0.3">
      <c r="A326" s="17"/>
      <c r="B326" s="17"/>
      <c r="C326" s="17"/>
      <c r="D326" s="33" t="s">
        <v>97</v>
      </c>
      <c r="E326" s="17" t="s">
        <v>834</v>
      </c>
      <c r="F326" s="17" t="s">
        <v>835</v>
      </c>
      <c r="G326" s="17"/>
      <c r="H326" s="17" t="s">
        <v>837</v>
      </c>
      <c r="I326" s="26" t="s">
        <v>838</v>
      </c>
      <c r="J326" s="17" t="s">
        <v>839</v>
      </c>
      <c r="K326" s="17" t="s">
        <v>34</v>
      </c>
      <c r="L326" s="17">
        <v>6</v>
      </c>
      <c r="M326" s="17" t="s">
        <v>840</v>
      </c>
      <c r="N326" s="17" t="s">
        <v>841</v>
      </c>
      <c r="O326" s="17" t="s">
        <v>842</v>
      </c>
      <c r="P326" s="17" t="s">
        <v>843</v>
      </c>
      <c r="Q326" s="17"/>
      <c r="R326" s="17" t="s">
        <v>844</v>
      </c>
      <c r="S326" s="17" t="s">
        <v>845</v>
      </c>
      <c r="T326" s="17" t="s">
        <v>846</v>
      </c>
      <c r="U326" s="30" t="s">
        <v>110</v>
      </c>
      <c r="V326" s="17"/>
      <c r="W326" s="17"/>
      <c r="X326" s="17"/>
      <c r="Y326" s="17"/>
      <c r="Z326" s="195" t="s">
        <v>847</v>
      </c>
      <c r="AA326" s="186"/>
      <c r="AB326" s="186"/>
      <c r="AC326" s="186"/>
      <c r="AD326" s="186"/>
      <c r="AE326" s="188"/>
    </row>
    <row r="327" spans="1:31" ht="20.25" customHeight="1" x14ac:dyDescent="0.3">
      <c r="A327" s="17"/>
      <c r="B327" s="17"/>
      <c r="C327" s="17"/>
      <c r="D327" s="33" t="s">
        <v>97</v>
      </c>
      <c r="E327" s="17" t="s">
        <v>999</v>
      </c>
      <c r="F327" s="17" t="s">
        <v>1000</v>
      </c>
      <c r="G327" s="17" t="s">
        <v>1001</v>
      </c>
      <c r="H327" s="17" t="s">
        <v>1002</v>
      </c>
      <c r="I327" s="26" t="s">
        <v>317</v>
      </c>
      <c r="J327" s="17" t="s">
        <v>318</v>
      </c>
      <c r="K327" s="17" t="s">
        <v>34</v>
      </c>
      <c r="L327" s="17">
        <v>7</v>
      </c>
      <c r="M327" s="17" t="s">
        <v>1003</v>
      </c>
      <c r="N327" s="17" t="s">
        <v>320</v>
      </c>
      <c r="O327" s="17" t="s">
        <v>321</v>
      </c>
      <c r="P327" s="17" t="s">
        <v>322</v>
      </c>
      <c r="Q327" s="17"/>
      <c r="R327" s="17" t="s">
        <v>323</v>
      </c>
      <c r="S327" s="17" t="s">
        <v>324</v>
      </c>
      <c r="T327" s="17" t="s">
        <v>1004</v>
      </c>
      <c r="U327" s="30" t="s">
        <v>110</v>
      </c>
      <c r="V327" s="17"/>
      <c r="W327" s="17"/>
      <c r="X327" s="17"/>
      <c r="Y327" s="17"/>
      <c r="Z327" s="195" t="s">
        <v>325</v>
      </c>
      <c r="AA327" s="186"/>
      <c r="AB327" s="186"/>
      <c r="AC327" s="186"/>
      <c r="AD327" s="186"/>
      <c r="AE327" s="188"/>
    </row>
    <row r="328" spans="1:31" ht="20.25" customHeight="1" x14ac:dyDescent="0.3">
      <c r="A328" s="17"/>
      <c r="B328" s="17"/>
      <c r="C328" s="17"/>
      <c r="D328" s="33" t="s">
        <v>97</v>
      </c>
      <c r="E328" s="17" t="s">
        <v>848</v>
      </c>
      <c r="F328" s="17" t="s">
        <v>849</v>
      </c>
      <c r="G328" s="17" t="s">
        <v>734</v>
      </c>
      <c r="H328" s="17" t="s">
        <v>850</v>
      </c>
      <c r="I328" s="26" t="s">
        <v>317</v>
      </c>
      <c r="J328" s="17" t="s">
        <v>318</v>
      </c>
      <c r="K328" s="17" t="s">
        <v>34</v>
      </c>
      <c r="L328" s="17">
        <v>6</v>
      </c>
      <c r="M328" s="17" t="s">
        <v>657</v>
      </c>
      <c r="N328" s="17" t="s">
        <v>320</v>
      </c>
      <c r="O328" s="17" t="s">
        <v>321</v>
      </c>
      <c r="P328" s="17" t="s">
        <v>322</v>
      </c>
      <c r="Q328" s="17"/>
      <c r="R328" s="17" t="s">
        <v>323</v>
      </c>
      <c r="S328" s="17" t="s">
        <v>324</v>
      </c>
      <c r="T328" s="17" t="s">
        <v>2943</v>
      </c>
      <c r="U328" s="30" t="s">
        <v>110</v>
      </c>
      <c r="V328" s="17"/>
      <c r="W328" s="17"/>
      <c r="X328" s="17"/>
      <c r="Y328" s="17"/>
      <c r="Z328" s="195" t="s">
        <v>325</v>
      </c>
      <c r="AA328" s="186"/>
      <c r="AB328" s="186"/>
      <c r="AC328" s="186"/>
      <c r="AD328" s="186"/>
      <c r="AE328" s="188"/>
    </row>
    <row r="329" spans="1:31" ht="20.25" customHeight="1" x14ac:dyDescent="0.3">
      <c r="A329" s="17"/>
      <c r="B329" s="17"/>
      <c r="C329" s="17"/>
      <c r="D329" s="33" t="s">
        <v>97</v>
      </c>
      <c r="E329" s="17" t="s">
        <v>313</v>
      </c>
      <c r="F329" s="17" t="s">
        <v>314</v>
      </c>
      <c r="G329" s="17" t="s">
        <v>315</v>
      </c>
      <c r="H329" s="17" t="s">
        <v>316</v>
      </c>
      <c r="I329" s="26" t="s">
        <v>317</v>
      </c>
      <c r="J329" s="17" t="s">
        <v>318</v>
      </c>
      <c r="K329" s="17" t="s">
        <v>51</v>
      </c>
      <c r="L329" s="17">
        <v>2</v>
      </c>
      <c r="M329" s="17" t="s">
        <v>319</v>
      </c>
      <c r="N329" s="17" t="s">
        <v>320</v>
      </c>
      <c r="O329" s="17" t="s">
        <v>321</v>
      </c>
      <c r="P329" s="17" t="s">
        <v>322</v>
      </c>
      <c r="Q329" s="17"/>
      <c r="R329" s="17" t="s">
        <v>323</v>
      </c>
      <c r="S329" s="17" t="s">
        <v>324</v>
      </c>
      <c r="T329" s="17"/>
      <c r="U329" s="30" t="s">
        <v>110</v>
      </c>
      <c r="V329" s="17"/>
      <c r="W329" s="17"/>
      <c r="X329" s="17"/>
      <c r="Y329" s="17"/>
      <c r="Z329" s="195" t="s">
        <v>325</v>
      </c>
      <c r="AA329" s="186"/>
      <c r="AB329" s="186"/>
      <c r="AC329" s="186"/>
      <c r="AD329" s="186"/>
      <c r="AE329" s="188"/>
    </row>
    <row r="330" spans="1:31" ht="20.25" customHeight="1" x14ac:dyDescent="0.3">
      <c r="A330" s="17"/>
      <c r="B330" s="17"/>
      <c r="C330" s="17"/>
      <c r="D330" s="33" t="s">
        <v>97</v>
      </c>
      <c r="E330" s="17" t="s">
        <v>852</v>
      </c>
      <c r="F330" s="17" t="s">
        <v>853</v>
      </c>
      <c r="G330" s="17" t="s">
        <v>854</v>
      </c>
      <c r="H330" s="17" t="s">
        <v>855</v>
      </c>
      <c r="I330" s="26" t="s">
        <v>856</v>
      </c>
      <c r="J330" s="17" t="s">
        <v>857</v>
      </c>
      <c r="K330" s="17" t="s">
        <v>51</v>
      </c>
      <c r="L330" s="17">
        <v>6</v>
      </c>
      <c r="M330" s="17" t="s">
        <v>858</v>
      </c>
      <c r="N330" s="17" t="s">
        <v>859</v>
      </c>
      <c r="O330" s="17" t="s">
        <v>860</v>
      </c>
      <c r="P330" s="17" t="s">
        <v>861</v>
      </c>
      <c r="Q330" s="17"/>
      <c r="R330" s="17" t="s">
        <v>862</v>
      </c>
      <c r="S330" s="17" t="s">
        <v>863</v>
      </c>
      <c r="T330" s="17" t="s">
        <v>864</v>
      </c>
      <c r="U330" s="30" t="s">
        <v>110</v>
      </c>
      <c r="V330" s="17"/>
      <c r="W330" s="17"/>
      <c r="X330" s="17"/>
      <c r="Y330" s="17"/>
      <c r="Z330" s="195" t="s">
        <v>865</v>
      </c>
      <c r="AA330" s="186"/>
      <c r="AB330" s="186"/>
      <c r="AC330" s="186"/>
      <c r="AD330" s="186"/>
      <c r="AE330" s="188"/>
    </row>
    <row r="331" spans="1:31" ht="20.25" customHeight="1" x14ac:dyDescent="0.3">
      <c r="A331" s="17"/>
      <c r="B331" s="17"/>
      <c r="C331" s="17"/>
      <c r="D331" s="33" t="s">
        <v>97</v>
      </c>
      <c r="E331" s="17" t="s">
        <v>202</v>
      </c>
      <c r="F331" s="17" t="s">
        <v>203</v>
      </c>
      <c r="G331" s="17" t="s">
        <v>204</v>
      </c>
      <c r="H331" s="17" t="s">
        <v>205</v>
      </c>
      <c r="I331" s="26" t="s">
        <v>206</v>
      </c>
      <c r="J331" s="17" t="s">
        <v>207</v>
      </c>
      <c r="K331" s="17" t="s">
        <v>51</v>
      </c>
      <c r="L331" s="17">
        <v>1</v>
      </c>
      <c r="M331" s="17" t="s">
        <v>208</v>
      </c>
      <c r="N331" s="17" t="s">
        <v>209</v>
      </c>
      <c r="O331" s="17" t="s">
        <v>210</v>
      </c>
      <c r="P331" s="17" t="s">
        <v>211</v>
      </c>
      <c r="Q331" s="17"/>
      <c r="R331" s="17" t="s">
        <v>212</v>
      </c>
      <c r="S331" s="17" t="s">
        <v>213</v>
      </c>
      <c r="T331" s="17"/>
      <c r="U331" s="30" t="s">
        <v>110</v>
      </c>
      <c r="V331" s="17"/>
      <c r="W331" s="17"/>
      <c r="X331" s="17"/>
      <c r="Y331" s="17"/>
      <c r="Z331" s="195" t="s">
        <v>214</v>
      </c>
      <c r="AA331" s="186"/>
      <c r="AB331" s="186"/>
      <c r="AC331" s="186"/>
      <c r="AD331" s="186"/>
      <c r="AE331" s="188"/>
    </row>
    <row r="332" spans="1:31" ht="20.25" customHeight="1" x14ac:dyDescent="0.3">
      <c r="A332" s="17"/>
      <c r="B332" s="17"/>
      <c r="C332" s="17"/>
      <c r="D332" s="33" t="s">
        <v>97</v>
      </c>
      <c r="E332" s="17" t="s">
        <v>479</v>
      </c>
      <c r="F332" s="17" t="s">
        <v>480</v>
      </c>
      <c r="G332" s="17" t="s">
        <v>275</v>
      </c>
      <c r="H332" s="17" t="s">
        <v>481</v>
      </c>
      <c r="I332" s="26" t="s">
        <v>182</v>
      </c>
      <c r="J332" s="17" t="s">
        <v>482</v>
      </c>
      <c r="K332" s="17" t="s">
        <v>51</v>
      </c>
      <c r="L332" s="17">
        <v>3</v>
      </c>
      <c r="M332" s="17" t="s">
        <v>483</v>
      </c>
      <c r="N332" s="17" t="s">
        <v>484</v>
      </c>
      <c r="O332" s="17" t="s">
        <v>485</v>
      </c>
      <c r="P332" s="17" t="s">
        <v>486</v>
      </c>
      <c r="Q332" s="17"/>
      <c r="R332" s="17" t="s">
        <v>487</v>
      </c>
      <c r="S332" s="17" t="s">
        <v>488</v>
      </c>
      <c r="T332" s="17"/>
      <c r="U332" s="30" t="s">
        <v>110</v>
      </c>
      <c r="V332" s="17"/>
      <c r="W332" s="17"/>
      <c r="X332" s="17"/>
      <c r="Y332" s="17"/>
      <c r="Z332" s="195" t="s">
        <v>214</v>
      </c>
      <c r="AA332" s="186"/>
      <c r="AB332" s="186"/>
      <c r="AC332" s="186"/>
      <c r="AD332" s="186"/>
      <c r="AE332" s="188"/>
    </row>
    <row r="333" spans="1:31" ht="20.25" customHeight="1" x14ac:dyDescent="0.3">
      <c r="A333" s="17"/>
      <c r="B333" s="17"/>
      <c r="C333" s="17"/>
      <c r="D333" s="33" t="s">
        <v>97</v>
      </c>
      <c r="E333" s="17" t="s">
        <v>326</v>
      </c>
      <c r="F333" s="17" t="s">
        <v>327</v>
      </c>
      <c r="G333" s="17" t="s">
        <v>328</v>
      </c>
      <c r="H333" s="17" t="s">
        <v>329</v>
      </c>
      <c r="I333" s="26" t="s">
        <v>330</v>
      </c>
      <c r="J333" s="17" t="s">
        <v>331</v>
      </c>
      <c r="K333" s="17" t="s">
        <v>34</v>
      </c>
      <c r="L333" s="17">
        <v>2</v>
      </c>
      <c r="M333" s="17" t="s">
        <v>332</v>
      </c>
      <c r="N333" s="17" t="s">
        <v>333</v>
      </c>
      <c r="O333" s="17" t="s">
        <v>334</v>
      </c>
      <c r="P333" s="17" t="s">
        <v>2944</v>
      </c>
      <c r="Q333" s="17"/>
      <c r="R333" s="17" t="s">
        <v>336</v>
      </c>
      <c r="S333" s="32" t="s">
        <v>337</v>
      </c>
      <c r="T333" s="17"/>
      <c r="U333" s="30" t="s">
        <v>110</v>
      </c>
      <c r="V333" s="17"/>
      <c r="W333" s="17"/>
      <c r="X333" s="17"/>
      <c r="Y333" s="17"/>
      <c r="Z333" s="195" t="s">
        <v>338</v>
      </c>
      <c r="AA333" s="186"/>
      <c r="AB333" s="186"/>
      <c r="AC333" s="186"/>
      <c r="AD333" s="186"/>
      <c r="AE333" s="188"/>
    </row>
    <row r="334" spans="1:31" ht="20.25" customHeight="1" x14ac:dyDescent="0.3">
      <c r="A334" s="17"/>
      <c r="B334" s="17"/>
      <c r="C334" s="17"/>
      <c r="D334" s="33" t="s">
        <v>97</v>
      </c>
      <c r="E334" s="17" t="s">
        <v>1728</v>
      </c>
      <c r="F334" s="17" t="s">
        <v>1729</v>
      </c>
      <c r="G334" s="17" t="s">
        <v>1730</v>
      </c>
      <c r="H334" s="17" t="s">
        <v>1731</v>
      </c>
      <c r="I334" s="26" t="s">
        <v>130</v>
      </c>
      <c r="J334" s="29" t="s">
        <v>595</v>
      </c>
      <c r="K334" s="17" t="s">
        <v>34</v>
      </c>
      <c r="L334" s="17">
        <v>11</v>
      </c>
      <c r="M334" s="17" t="s">
        <v>1732</v>
      </c>
      <c r="N334" s="17" t="s">
        <v>597</v>
      </c>
      <c r="O334" s="17" t="s">
        <v>598</v>
      </c>
      <c r="P334" s="17" t="s">
        <v>599</v>
      </c>
      <c r="Q334" s="17"/>
      <c r="R334" s="17" t="s">
        <v>600</v>
      </c>
      <c r="S334" s="17" t="s">
        <v>601</v>
      </c>
      <c r="T334" s="17" t="s">
        <v>1733</v>
      </c>
      <c r="U334" s="30" t="s">
        <v>1734</v>
      </c>
      <c r="V334" s="54"/>
      <c r="W334" s="54"/>
      <c r="X334" s="54"/>
      <c r="Y334" s="54"/>
      <c r="Z334" s="195" t="s">
        <v>1735</v>
      </c>
      <c r="AA334" s="186"/>
      <c r="AB334" s="186"/>
      <c r="AC334" s="186"/>
      <c r="AD334" s="186"/>
      <c r="AE334" s="188"/>
    </row>
    <row r="335" spans="1:31" ht="20.25" customHeight="1" x14ac:dyDescent="0.3">
      <c r="A335" s="17"/>
      <c r="B335" s="17"/>
      <c r="C335" s="17"/>
      <c r="D335" s="33" t="s">
        <v>97</v>
      </c>
      <c r="E335" s="17" t="s">
        <v>994</v>
      </c>
      <c r="F335" s="17" t="s">
        <v>995</v>
      </c>
      <c r="G335" s="17" t="s">
        <v>996</v>
      </c>
      <c r="H335" s="17" t="s">
        <v>997</v>
      </c>
      <c r="I335" s="26" t="s">
        <v>130</v>
      </c>
      <c r="J335" s="29" t="s">
        <v>595</v>
      </c>
      <c r="K335" s="17" t="s">
        <v>34</v>
      </c>
      <c r="L335" s="17">
        <v>7</v>
      </c>
      <c r="M335" s="17" t="s">
        <v>998</v>
      </c>
      <c r="N335" s="17" t="s">
        <v>597</v>
      </c>
      <c r="O335" s="17" t="s">
        <v>598</v>
      </c>
      <c r="P335" s="17" t="s">
        <v>599</v>
      </c>
      <c r="Q335" s="17"/>
      <c r="R335" s="17" t="s">
        <v>600</v>
      </c>
      <c r="S335" s="17" t="s">
        <v>601</v>
      </c>
      <c r="T335" s="17" t="s">
        <v>2945</v>
      </c>
      <c r="U335" s="30" t="s">
        <v>2946</v>
      </c>
      <c r="V335" s="17"/>
      <c r="W335" s="17"/>
      <c r="X335" s="17"/>
      <c r="Y335" s="17"/>
      <c r="Z335" s="195" t="s">
        <v>603</v>
      </c>
      <c r="AA335" s="186"/>
      <c r="AB335" s="186"/>
      <c r="AC335" s="186"/>
      <c r="AD335" s="186"/>
      <c r="AE335" s="188"/>
    </row>
    <row r="336" spans="1:31" ht="20.25" customHeight="1" x14ac:dyDescent="0.3">
      <c r="A336" s="17"/>
      <c r="B336" s="17"/>
      <c r="C336" s="17"/>
      <c r="D336" s="33" t="s">
        <v>97</v>
      </c>
      <c r="E336" s="17" t="s">
        <v>698</v>
      </c>
      <c r="F336" s="17" t="s">
        <v>699</v>
      </c>
      <c r="G336" s="17" t="s">
        <v>700</v>
      </c>
      <c r="H336" s="17" t="s">
        <v>701</v>
      </c>
      <c r="I336" s="26" t="s">
        <v>130</v>
      </c>
      <c r="J336" s="29" t="s">
        <v>595</v>
      </c>
      <c r="K336" s="17" t="s">
        <v>34</v>
      </c>
      <c r="L336" s="17">
        <v>5</v>
      </c>
      <c r="M336" s="17" t="s">
        <v>702</v>
      </c>
      <c r="N336" s="17" t="s">
        <v>597</v>
      </c>
      <c r="O336" s="17" t="s">
        <v>598</v>
      </c>
      <c r="P336" s="17" t="s">
        <v>599</v>
      </c>
      <c r="Q336" s="17"/>
      <c r="R336" s="17" t="s">
        <v>600</v>
      </c>
      <c r="S336" s="17" t="s">
        <v>601</v>
      </c>
      <c r="T336" s="17"/>
      <c r="U336" s="30" t="s">
        <v>2946</v>
      </c>
      <c r="V336" s="17"/>
      <c r="W336" s="17"/>
      <c r="X336" s="17"/>
      <c r="Y336" s="17"/>
      <c r="Z336" s="195" t="s">
        <v>603</v>
      </c>
      <c r="AA336" s="186"/>
      <c r="AB336" s="186"/>
      <c r="AC336" s="186"/>
      <c r="AD336" s="186"/>
      <c r="AE336" s="188"/>
    </row>
    <row r="337" spans="1:31" ht="20.25" customHeight="1" x14ac:dyDescent="0.3">
      <c r="A337" s="17"/>
      <c r="B337" s="17"/>
      <c r="C337" s="17"/>
      <c r="D337" s="33" t="s">
        <v>97</v>
      </c>
      <c r="E337" s="17" t="s">
        <v>592</v>
      </c>
      <c r="F337" s="17" t="s">
        <v>593</v>
      </c>
      <c r="G337" s="17" t="s">
        <v>154</v>
      </c>
      <c r="H337" s="17" t="s">
        <v>594</v>
      </c>
      <c r="I337" s="26" t="s">
        <v>130</v>
      </c>
      <c r="J337" s="29" t="s">
        <v>595</v>
      </c>
      <c r="K337" s="17" t="s">
        <v>34</v>
      </c>
      <c r="L337" s="17">
        <v>4</v>
      </c>
      <c r="M337" s="17" t="s">
        <v>596</v>
      </c>
      <c r="N337" s="17" t="s">
        <v>597</v>
      </c>
      <c r="O337" s="17" t="s">
        <v>598</v>
      </c>
      <c r="P337" s="17" t="s">
        <v>599</v>
      </c>
      <c r="Q337" s="17"/>
      <c r="R337" s="17" t="s">
        <v>600</v>
      </c>
      <c r="S337" s="17" t="s">
        <v>601</v>
      </c>
      <c r="T337" s="17"/>
      <c r="U337" s="30" t="s">
        <v>2946</v>
      </c>
      <c r="V337" s="17"/>
      <c r="W337" s="17"/>
      <c r="X337" s="17"/>
      <c r="Y337" s="17"/>
      <c r="Z337" s="195" t="s">
        <v>603</v>
      </c>
      <c r="AA337" s="186"/>
      <c r="AB337" s="186"/>
      <c r="AC337" s="186"/>
      <c r="AD337" s="186"/>
      <c r="AE337" s="188"/>
    </row>
    <row r="338" spans="1:31" ht="20.25" customHeight="1" x14ac:dyDescent="0.3">
      <c r="A338" s="17"/>
      <c r="B338" s="17"/>
      <c r="C338" s="17"/>
      <c r="D338" s="33" t="s">
        <v>97</v>
      </c>
      <c r="E338" s="17" t="s">
        <v>339</v>
      </c>
      <c r="F338" s="17" t="s">
        <v>340</v>
      </c>
      <c r="G338" s="17" t="s">
        <v>2947</v>
      </c>
      <c r="H338" s="17" t="s">
        <v>342</v>
      </c>
      <c r="I338" s="26" t="s">
        <v>32</v>
      </c>
      <c r="J338" s="17" t="s">
        <v>343</v>
      </c>
      <c r="K338" s="17" t="s">
        <v>51</v>
      </c>
      <c r="L338" s="17">
        <v>2</v>
      </c>
      <c r="M338" s="17" t="s">
        <v>344</v>
      </c>
      <c r="N338" s="17" t="s">
        <v>37</v>
      </c>
      <c r="O338" s="17" t="s">
        <v>38</v>
      </c>
      <c r="P338" s="17" t="s">
        <v>39</v>
      </c>
      <c r="Q338" s="17"/>
      <c r="R338" s="17" t="s">
        <v>41</v>
      </c>
      <c r="S338" s="17" t="s">
        <v>42</v>
      </c>
      <c r="T338" s="17"/>
      <c r="U338" s="30" t="s">
        <v>2948</v>
      </c>
      <c r="V338" s="17"/>
      <c r="W338" s="17"/>
      <c r="X338" s="17"/>
      <c r="Y338" s="17"/>
      <c r="Z338" s="195" t="s">
        <v>346</v>
      </c>
      <c r="AA338" s="186"/>
      <c r="AB338" s="186"/>
      <c r="AC338" s="186"/>
      <c r="AD338" s="186"/>
      <c r="AE338" s="188"/>
    </row>
    <row r="339" spans="1:31" ht="20.25" customHeight="1" x14ac:dyDescent="0.3">
      <c r="A339" s="17"/>
      <c r="B339" s="17"/>
      <c r="C339" s="17"/>
      <c r="D339" s="33" t="s">
        <v>97</v>
      </c>
      <c r="E339" s="17" t="s">
        <v>703</v>
      </c>
      <c r="F339" s="17" t="s">
        <v>704</v>
      </c>
      <c r="G339" s="17" t="s">
        <v>705</v>
      </c>
      <c r="H339" s="17" t="s">
        <v>706</v>
      </c>
      <c r="I339" s="26" t="s">
        <v>707</v>
      </c>
      <c r="J339" s="17" t="s">
        <v>708</v>
      </c>
      <c r="K339" s="17" t="s">
        <v>51</v>
      </c>
      <c r="L339" s="17">
        <v>5</v>
      </c>
      <c r="M339" s="17" t="s">
        <v>709</v>
      </c>
      <c r="N339" s="17" t="s">
        <v>710</v>
      </c>
      <c r="O339" s="17" t="s">
        <v>711</v>
      </c>
      <c r="P339" s="17" t="s">
        <v>712</v>
      </c>
      <c r="Q339" s="17"/>
      <c r="R339" s="17" t="s">
        <v>713</v>
      </c>
      <c r="S339" s="17" t="s">
        <v>714</v>
      </c>
      <c r="T339" s="17" t="s">
        <v>715</v>
      </c>
      <c r="U339" s="30" t="s">
        <v>716</v>
      </c>
      <c r="V339" s="17"/>
      <c r="W339" s="17"/>
      <c r="X339" s="17"/>
      <c r="Y339" s="17"/>
      <c r="Z339" s="195" t="s">
        <v>717</v>
      </c>
      <c r="AA339" s="186"/>
      <c r="AB339" s="186"/>
      <c r="AC339" s="186"/>
      <c r="AD339" s="186"/>
      <c r="AE339" s="188"/>
    </row>
    <row r="340" spans="1:31" ht="20.25" customHeight="1" x14ac:dyDescent="0.3">
      <c r="A340" s="17"/>
      <c r="B340" s="17"/>
      <c r="C340" s="17"/>
      <c r="D340" s="33" t="s">
        <v>97</v>
      </c>
      <c r="E340" s="17" t="s">
        <v>1199</v>
      </c>
      <c r="F340" s="17" t="s">
        <v>1200</v>
      </c>
      <c r="G340" s="17" t="s">
        <v>1201</v>
      </c>
      <c r="H340" s="17" t="s">
        <v>1202</v>
      </c>
      <c r="I340" s="26" t="s">
        <v>1203</v>
      </c>
      <c r="J340" s="17" t="s">
        <v>1204</v>
      </c>
      <c r="K340" s="17" t="s">
        <v>51</v>
      </c>
      <c r="L340" s="17">
        <v>8</v>
      </c>
      <c r="M340" s="17" t="s">
        <v>1205</v>
      </c>
      <c r="N340" s="17" t="s">
        <v>1206</v>
      </c>
      <c r="O340" s="17" t="s">
        <v>1207</v>
      </c>
      <c r="P340" s="17" t="s">
        <v>1208</v>
      </c>
      <c r="Q340" s="17"/>
      <c r="R340" s="17" t="s">
        <v>1209</v>
      </c>
      <c r="S340" s="17" t="s">
        <v>1210</v>
      </c>
      <c r="T340" s="17" t="s">
        <v>1211</v>
      </c>
      <c r="U340" s="30" t="s">
        <v>1212</v>
      </c>
      <c r="V340" s="17"/>
      <c r="W340" s="17"/>
      <c r="X340" s="17"/>
      <c r="Y340" s="17"/>
      <c r="Z340" s="195" t="s">
        <v>1213</v>
      </c>
      <c r="AA340" s="186"/>
      <c r="AB340" s="186"/>
      <c r="AC340" s="186"/>
      <c r="AD340" s="186"/>
      <c r="AE340" s="188"/>
    </row>
    <row r="341" spans="1:31" ht="20.25" customHeight="1" x14ac:dyDescent="0.3">
      <c r="A341" s="17"/>
      <c r="B341" s="17"/>
      <c r="C341" s="17"/>
      <c r="D341" s="33" t="s">
        <v>97</v>
      </c>
      <c r="E341" s="17" t="s">
        <v>1402</v>
      </c>
      <c r="F341" s="17" t="s">
        <v>2949</v>
      </c>
      <c r="G341" s="17" t="s">
        <v>2950</v>
      </c>
      <c r="H341" s="17" t="s">
        <v>2951</v>
      </c>
      <c r="I341" s="26" t="s">
        <v>2952</v>
      </c>
      <c r="J341" s="17" t="s">
        <v>2953</v>
      </c>
      <c r="K341" s="17" t="s">
        <v>51</v>
      </c>
      <c r="L341" s="17">
        <v>9</v>
      </c>
      <c r="M341" s="17" t="s">
        <v>2954</v>
      </c>
      <c r="N341" s="17" t="s">
        <v>2955</v>
      </c>
      <c r="O341" s="17" t="s">
        <v>2956</v>
      </c>
      <c r="P341" s="17" t="s">
        <v>2957</v>
      </c>
      <c r="Q341" s="17"/>
      <c r="R341" s="17" t="s">
        <v>2958</v>
      </c>
      <c r="S341" s="17" t="s">
        <v>2959</v>
      </c>
      <c r="T341" s="17" t="s">
        <v>2960</v>
      </c>
      <c r="U341" s="30"/>
      <c r="V341" s="17"/>
      <c r="W341" s="17"/>
      <c r="X341" s="17"/>
      <c r="Y341" s="17"/>
      <c r="Z341" s="195" t="s">
        <v>2961</v>
      </c>
      <c r="AA341" s="186"/>
      <c r="AB341" s="186"/>
      <c r="AC341" s="186"/>
      <c r="AD341" s="186"/>
      <c r="AE341" s="188"/>
    </row>
    <row r="342" spans="1:31" ht="20.25" customHeight="1" x14ac:dyDescent="0.3">
      <c r="A342" s="17"/>
      <c r="B342" s="17"/>
      <c r="C342" s="17"/>
      <c r="D342" s="33" t="s">
        <v>97</v>
      </c>
      <c r="E342" s="17" t="s">
        <v>1403</v>
      </c>
      <c r="F342" s="17" t="s">
        <v>2962</v>
      </c>
      <c r="G342" s="17" t="s">
        <v>2963</v>
      </c>
      <c r="H342" s="17" t="s">
        <v>2964</v>
      </c>
      <c r="I342" s="26" t="s">
        <v>2952</v>
      </c>
      <c r="J342" s="17" t="s">
        <v>2953</v>
      </c>
      <c r="K342" s="17" t="s">
        <v>34</v>
      </c>
      <c r="L342" s="17">
        <v>9</v>
      </c>
      <c r="M342" s="17" t="s">
        <v>2954</v>
      </c>
      <c r="N342" s="17" t="s">
        <v>2955</v>
      </c>
      <c r="O342" s="17" t="s">
        <v>2956</v>
      </c>
      <c r="P342" s="17" t="s">
        <v>2957</v>
      </c>
      <c r="Q342" s="17"/>
      <c r="R342" s="17" t="s">
        <v>2958</v>
      </c>
      <c r="S342" s="17" t="s">
        <v>2959</v>
      </c>
      <c r="T342" s="17" t="s">
        <v>2965</v>
      </c>
      <c r="U342" s="30"/>
      <c r="V342" s="17"/>
      <c r="W342" s="17"/>
      <c r="X342" s="17"/>
      <c r="Y342" s="17"/>
      <c r="Z342" s="195" t="s">
        <v>2961</v>
      </c>
      <c r="AA342" s="186"/>
      <c r="AB342" s="186"/>
      <c r="AC342" s="186"/>
      <c r="AD342" s="186"/>
      <c r="AE342" s="188"/>
    </row>
    <row r="343" spans="1:31" ht="20.25" customHeight="1" x14ac:dyDescent="0.3">
      <c r="A343" s="17"/>
      <c r="B343" s="17"/>
      <c r="C343" s="17"/>
      <c r="D343" s="33" t="s">
        <v>97</v>
      </c>
      <c r="E343" s="17" t="s">
        <v>1404</v>
      </c>
      <c r="F343" s="17" t="s">
        <v>2966</v>
      </c>
      <c r="G343" s="17" t="s">
        <v>2967</v>
      </c>
      <c r="H343" s="17" t="s">
        <v>2968</v>
      </c>
      <c r="I343" s="26" t="s">
        <v>2969</v>
      </c>
      <c r="J343" s="17" t="s">
        <v>2970</v>
      </c>
      <c r="K343" s="17" t="s">
        <v>51</v>
      </c>
      <c r="L343" s="17">
        <v>9</v>
      </c>
      <c r="M343" s="17" t="s">
        <v>2971</v>
      </c>
      <c r="N343" s="17" t="s">
        <v>2972</v>
      </c>
      <c r="O343" s="17" t="s">
        <v>2973</v>
      </c>
      <c r="P343" s="17" t="s">
        <v>2974</v>
      </c>
      <c r="Q343" s="17"/>
      <c r="R343" s="17" t="s">
        <v>2975</v>
      </c>
      <c r="S343" s="17" t="s">
        <v>2976</v>
      </c>
      <c r="T343" s="17" t="s">
        <v>2977</v>
      </c>
      <c r="U343" s="30"/>
      <c r="V343" s="17"/>
      <c r="W343" s="17"/>
      <c r="X343" s="17"/>
      <c r="Y343" s="17"/>
      <c r="Z343" s="195" t="s">
        <v>2978</v>
      </c>
      <c r="AA343" s="186"/>
      <c r="AB343" s="186"/>
      <c r="AC343" s="186"/>
      <c r="AD343" s="186"/>
      <c r="AE343" s="188"/>
    </row>
    <row r="344" spans="1:31" ht="20.2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2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30"/>
      <c r="V344" s="17"/>
      <c r="W344" s="17"/>
      <c r="X344" s="17"/>
      <c r="Y344" s="17"/>
      <c r="Z344" s="195"/>
      <c r="AA344" s="186"/>
      <c r="AB344" s="186"/>
      <c r="AC344" s="186"/>
      <c r="AD344" s="186"/>
      <c r="AE344" s="188"/>
    </row>
    <row r="345" spans="1:31" ht="20.2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2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30"/>
      <c r="V345" s="17"/>
      <c r="W345" s="17"/>
      <c r="X345" s="17"/>
      <c r="Y345" s="17"/>
      <c r="Z345" s="195"/>
      <c r="AA345" s="186"/>
      <c r="AB345" s="186"/>
      <c r="AC345" s="186"/>
      <c r="AD345" s="186"/>
      <c r="AE345" s="188"/>
    </row>
    <row r="346" spans="1:31" ht="20.2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2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30"/>
      <c r="V346" s="17"/>
      <c r="W346" s="17"/>
      <c r="X346" s="17"/>
      <c r="Y346" s="17"/>
      <c r="Z346" s="195"/>
      <c r="AA346" s="186"/>
      <c r="AB346" s="186"/>
      <c r="AC346" s="186"/>
      <c r="AD346" s="186"/>
      <c r="AE346" s="188"/>
    </row>
    <row r="347" spans="1:31" ht="20.2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2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30"/>
      <c r="V347" s="17"/>
      <c r="W347" s="17"/>
      <c r="X347" s="17"/>
      <c r="Y347" s="17"/>
      <c r="Z347" s="195"/>
      <c r="AA347" s="186"/>
      <c r="AB347" s="186"/>
      <c r="AC347" s="186"/>
      <c r="AD347" s="186"/>
      <c r="AE347" s="188"/>
    </row>
    <row r="348" spans="1:31" ht="20.2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2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30"/>
      <c r="V348" s="17"/>
      <c r="W348" s="17"/>
      <c r="X348" s="17"/>
      <c r="Y348" s="17"/>
      <c r="Z348" s="195"/>
      <c r="AA348" s="186"/>
      <c r="AB348" s="186"/>
      <c r="AC348" s="186"/>
      <c r="AD348" s="186"/>
      <c r="AE348" s="188"/>
    </row>
    <row r="349" spans="1:31" ht="20.2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2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30"/>
      <c r="V349" s="17"/>
      <c r="W349" s="17"/>
      <c r="X349" s="17"/>
      <c r="Y349" s="17"/>
      <c r="Z349" s="195"/>
      <c r="AA349" s="186"/>
      <c r="AB349" s="186"/>
      <c r="AC349" s="186"/>
      <c r="AD349" s="186"/>
      <c r="AE349" s="188"/>
    </row>
    <row r="350" spans="1:31" ht="20.2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2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30"/>
      <c r="V350" s="17"/>
      <c r="W350" s="17"/>
      <c r="X350" s="17"/>
      <c r="Y350" s="17"/>
      <c r="Z350" s="195"/>
      <c r="AA350" s="186"/>
      <c r="AB350" s="186"/>
      <c r="AC350" s="186"/>
      <c r="AD350" s="186"/>
      <c r="AE350" s="188"/>
    </row>
    <row r="351" spans="1:31" ht="20.2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2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30"/>
      <c r="V351" s="17"/>
      <c r="W351" s="17"/>
      <c r="X351" s="17"/>
      <c r="Y351" s="17"/>
      <c r="Z351" s="195"/>
      <c r="AA351" s="186"/>
      <c r="AB351" s="186"/>
      <c r="AC351" s="186"/>
      <c r="AD351" s="186"/>
      <c r="AE351" s="188"/>
    </row>
    <row r="352" spans="1:31" ht="20.2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2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30"/>
      <c r="V352" s="17"/>
      <c r="W352" s="17"/>
      <c r="X352" s="17"/>
      <c r="Y352" s="17"/>
      <c r="Z352" s="195"/>
      <c r="AA352" s="186"/>
      <c r="AB352" s="186"/>
      <c r="AC352" s="186"/>
      <c r="AD352" s="186"/>
      <c r="AE352" s="188"/>
    </row>
    <row r="353" spans="1:31" ht="20.2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2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30"/>
      <c r="V353" s="17"/>
      <c r="W353" s="17"/>
      <c r="X353" s="17"/>
      <c r="Y353" s="17"/>
      <c r="Z353" s="195"/>
      <c r="AA353" s="186"/>
      <c r="AB353" s="186"/>
      <c r="AC353" s="186"/>
      <c r="AD353" s="186"/>
      <c r="AE353" s="188"/>
    </row>
    <row r="354" spans="1:31" ht="20.2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2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30"/>
      <c r="V354" s="17"/>
      <c r="W354" s="17"/>
      <c r="X354" s="17"/>
      <c r="Y354" s="17"/>
      <c r="Z354" s="195"/>
      <c r="AA354" s="186"/>
      <c r="AB354" s="186"/>
      <c r="AC354" s="186"/>
      <c r="AD354" s="186"/>
      <c r="AE354" s="188"/>
    </row>
    <row r="355" spans="1:31" ht="20.2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2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30"/>
      <c r="V355" s="17"/>
      <c r="W355" s="17"/>
      <c r="X355" s="17"/>
      <c r="Y355" s="17"/>
      <c r="Z355" s="195"/>
      <c r="AA355" s="186"/>
      <c r="AB355" s="186"/>
      <c r="AC355" s="186"/>
      <c r="AD355" s="186"/>
      <c r="AE355" s="188"/>
    </row>
    <row r="356" spans="1:31" ht="20.2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2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30"/>
      <c r="V356" s="17"/>
      <c r="W356" s="17"/>
      <c r="X356" s="17"/>
      <c r="Y356" s="17"/>
      <c r="Z356" s="195"/>
      <c r="AA356" s="186"/>
      <c r="AB356" s="186"/>
      <c r="AC356" s="186"/>
      <c r="AD356" s="186"/>
      <c r="AE356" s="188"/>
    </row>
    <row r="357" spans="1:31" ht="15.75" customHeight="1" x14ac:dyDescent="0.3">
      <c r="G357" s="99"/>
      <c r="I357" s="99"/>
      <c r="U357" s="99"/>
    </row>
    <row r="358" spans="1:31" ht="15.75" customHeight="1" x14ac:dyDescent="0.3">
      <c r="G358" s="99"/>
      <c r="I358" s="99"/>
      <c r="U358" s="99"/>
    </row>
    <row r="359" spans="1:31" ht="15.75" customHeight="1" x14ac:dyDescent="0.3">
      <c r="G359" s="99"/>
      <c r="I359" s="99"/>
      <c r="U359" s="99"/>
    </row>
    <row r="360" spans="1:31" ht="15.75" customHeight="1" x14ac:dyDescent="0.3">
      <c r="G360" s="99"/>
      <c r="I360" s="99"/>
      <c r="U360" s="99"/>
    </row>
    <row r="361" spans="1:31" ht="15.75" customHeight="1" x14ac:dyDescent="0.3">
      <c r="G361" s="99"/>
      <c r="I361" s="99"/>
      <c r="U361" s="99"/>
    </row>
    <row r="362" spans="1:31" ht="15.75" customHeight="1" x14ac:dyDescent="0.3">
      <c r="G362" s="99"/>
      <c r="I362" s="99"/>
      <c r="U362" s="99"/>
    </row>
    <row r="363" spans="1:31" ht="15.75" customHeight="1" x14ac:dyDescent="0.3">
      <c r="G363" s="99"/>
      <c r="I363" s="99"/>
      <c r="U363" s="99"/>
    </row>
    <row r="364" spans="1:31" ht="15.75" customHeight="1" x14ac:dyDescent="0.3">
      <c r="G364" s="99"/>
      <c r="I364" s="99"/>
      <c r="U364" s="99"/>
    </row>
    <row r="365" spans="1:31" ht="15.75" customHeight="1" x14ac:dyDescent="0.3">
      <c r="G365" s="99"/>
      <c r="I365" s="99"/>
      <c r="U365" s="99"/>
    </row>
    <row r="366" spans="1:31" ht="15.75" customHeight="1" x14ac:dyDescent="0.3">
      <c r="G366" s="99"/>
      <c r="I366" s="99"/>
      <c r="U366" s="99"/>
    </row>
    <row r="367" spans="1:31" ht="15.75" customHeight="1" x14ac:dyDescent="0.3">
      <c r="G367" s="99"/>
      <c r="I367" s="99"/>
      <c r="U367" s="99"/>
    </row>
    <row r="368" spans="1:31" ht="15.75" customHeight="1" x14ac:dyDescent="0.3">
      <c r="G368" s="99"/>
      <c r="I368" s="99"/>
      <c r="U368" s="99"/>
    </row>
    <row r="369" spans="7:21" ht="15.75" customHeight="1" x14ac:dyDescent="0.3">
      <c r="G369" s="99"/>
      <c r="I369" s="99"/>
      <c r="U369" s="99"/>
    </row>
    <row r="370" spans="7:21" ht="15.75" customHeight="1" x14ac:dyDescent="0.3">
      <c r="G370" s="99"/>
      <c r="I370" s="99"/>
      <c r="U370" s="99"/>
    </row>
    <row r="371" spans="7:21" ht="15.75" customHeight="1" x14ac:dyDescent="0.3">
      <c r="G371" s="99"/>
      <c r="I371" s="99"/>
      <c r="U371" s="99"/>
    </row>
    <row r="372" spans="7:21" ht="15.75" customHeight="1" x14ac:dyDescent="0.3">
      <c r="G372" s="99"/>
      <c r="I372" s="99"/>
      <c r="U372" s="99"/>
    </row>
    <row r="373" spans="7:21" ht="15.75" customHeight="1" x14ac:dyDescent="0.3">
      <c r="G373" s="99"/>
      <c r="I373" s="99"/>
      <c r="U373" s="99"/>
    </row>
    <row r="374" spans="7:21" ht="15.75" customHeight="1" x14ac:dyDescent="0.3">
      <c r="G374" s="99"/>
      <c r="I374" s="99"/>
      <c r="U374" s="99"/>
    </row>
    <row r="375" spans="7:21" ht="15.75" customHeight="1" x14ac:dyDescent="0.3">
      <c r="G375" s="99"/>
      <c r="I375" s="99"/>
      <c r="U375" s="99"/>
    </row>
    <row r="376" spans="7:21" ht="15.75" customHeight="1" x14ac:dyDescent="0.3">
      <c r="G376" s="99"/>
      <c r="I376" s="99"/>
      <c r="U376" s="99"/>
    </row>
    <row r="377" spans="7:21" ht="15.75" customHeight="1" x14ac:dyDescent="0.3">
      <c r="G377" s="99"/>
      <c r="I377" s="99"/>
      <c r="U377" s="99"/>
    </row>
    <row r="378" spans="7:21" ht="15.75" customHeight="1" x14ac:dyDescent="0.3">
      <c r="G378" s="99"/>
      <c r="I378" s="99"/>
      <c r="U378" s="99"/>
    </row>
    <row r="379" spans="7:21" ht="15.75" customHeight="1" x14ac:dyDescent="0.3">
      <c r="G379" s="99"/>
      <c r="I379" s="99"/>
      <c r="U379" s="99"/>
    </row>
    <row r="380" spans="7:21" ht="15.75" customHeight="1" x14ac:dyDescent="0.3">
      <c r="G380" s="99"/>
      <c r="I380" s="99"/>
      <c r="U380" s="99"/>
    </row>
    <row r="381" spans="7:21" ht="15.75" customHeight="1" x14ac:dyDescent="0.3">
      <c r="G381" s="99"/>
      <c r="I381" s="99"/>
      <c r="U381" s="99"/>
    </row>
    <row r="382" spans="7:21" ht="15.75" customHeight="1" x14ac:dyDescent="0.3">
      <c r="G382" s="99"/>
      <c r="I382" s="99"/>
      <c r="U382" s="99"/>
    </row>
    <row r="383" spans="7:21" ht="15.75" customHeight="1" x14ac:dyDescent="0.3">
      <c r="G383" s="99"/>
      <c r="I383" s="99"/>
      <c r="U383" s="99"/>
    </row>
    <row r="384" spans="7:21" ht="15.75" customHeight="1" x14ac:dyDescent="0.3">
      <c r="G384" s="99"/>
      <c r="I384" s="99"/>
      <c r="U384" s="99"/>
    </row>
    <row r="385" spans="7:21" ht="15.75" customHeight="1" x14ac:dyDescent="0.3">
      <c r="G385" s="99"/>
      <c r="I385" s="99"/>
      <c r="U385" s="99"/>
    </row>
    <row r="386" spans="7:21" ht="15.75" customHeight="1" x14ac:dyDescent="0.3">
      <c r="G386" s="99"/>
      <c r="I386" s="99"/>
      <c r="U386" s="99"/>
    </row>
    <row r="387" spans="7:21" ht="15.75" customHeight="1" x14ac:dyDescent="0.3">
      <c r="G387" s="99"/>
      <c r="I387" s="99"/>
      <c r="U387" s="99"/>
    </row>
    <row r="388" spans="7:21" ht="15.75" customHeight="1" x14ac:dyDescent="0.3">
      <c r="G388" s="99"/>
      <c r="I388" s="99"/>
      <c r="U388" s="99"/>
    </row>
    <row r="389" spans="7:21" ht="15.75" customHeight="1" x14ac:dyDescent="0.3">
      <c r="G389" s="99"/>
      <c r="I389" s="99"/>
      <c r="U389" s="99"/>
    </row>
    <row r="390" spans="7:21" ht="15.75" customHeight="1" x14ac:dyDescent="0.3">
      <c r="G390" s="99"/>
      <c r="I390" s="99"/>
      <c r="U390" s="99"/>
    </row>
    <row r="391" spans="7:21" ht="15.75" customHeight="1" x14ac:dyDescent="0.3">
      <c r="G391" s="99"/>
      <c r="I391" s="99"/>
      <c r="U391" s="99"/>
    </row>
    <row r="392" spans="7:21" ht="15.75" customHeight="1" x14ac:dyDescent="0.3">
      <c r="G392" s="99"/>
      <c r="I392" s="99"/>
      <c r="U392" s="99"/>
    </row>
    <row r="393" spans="7:21" ht="15.75" customHeight="1" x14ac:dyDescent="0.3">
      <c r="G393" s="99"/>
      <c r="I393" s="99"/>
      <c r="U393" s="99"/>
    </row>
    <row r="394" spans="7:21" ht="15.75" customHeight="1" x14ac:dyDescent="0.3">
      <c r="G394" s="99"/>
      <c r="I394" s="99"/>
      <c r="U394" s="99"/>
    </row>
    <row r="395" spans="7:21" ht="15.75" customHeight="1" x14ac:dyDescent="0.3">
      <c r="G395" s="99"/>
      <c r="I395" s="99"/>
      <c r="U395" s="99"/>
    </row>
    <row r="396" spans="7:21" ht="15.75" customHeight="1" x14ac:dyDescent="0.3">
      <c r="G396" s="99"/>
      <c r="I396" s="99"/>
      <c r="U396" s="99"/>
    </row>
    <row r="397" spans="7:21" ht="15.75" customHeight="1" x14ac:dyDescent="0.3">
      <c r="G397" s="99"/>
      <c r="I397" s="99"/>
      <c r="U397" s="99"/>
    </row>
    <row r="398" spans="7:21" ht="15.75" customHeight="1" x14ac:dyDescent="0.3">
      <c r="G398" s="99"/>
      <c r="I398" s="99"/>
      <c r="U398" s="99"/>
    </row>
    <row r="399" spans="7:21" ht="15.75" customHeight="1" x14ac:dyDescent="0.3">
      <c r="G399" s="99"/>
      <c r="I399" s="99"/>
      <c r="U399" s="99"/>
    </row>
    <row r="400" spans="7:21" ht="15.75" customHeight="1" x14ac:dyDescent="0.3">
      <c r="G400" s="99"/>
      <c r="I400" s="99"/>
      <c r="U400" s="99"/>
    </row>
    <row r="401" spans="7:21" ht="15.75" customHeight="1" x14ac:dyDescent="0.3">
      <c r="G401" s="99"/>
      <c r="I401" s="99"/>
      <c r="U401" s="99"/>
    </row>
    <row r="402" spans="7:21" ht="15.75" customHeight="1" x14ac:dyDescent="0.3">
      <c r="G402" s="99"/>
      <c r="I402" s="99"/>
      <c r="U402" s="99"/>
    </row>
    <row r="403" spans="7:21" ht="15.75" customHeight="1" x14ac:dyDescent="0.3">
      <c r="G403" s="99"/>
      <c r="I403" s="99"/>
      <c r="U403" s="99"/>
    </row>
    <row r="404" spans="7:21" ht="15.75" customHeight="1" x14ac:dyDescent="0.3">
      <c r="G404" s="99"/>
      <c r="I404" s="99"/>
      <c r="U404" s="99"/>
    </row>
    <row r="405" spans="7:21" ht="15.75" customHeight="1" x14ac:dyDescent="0.3">
      <c r="G405" s="99"/>
      <c r="I405" s="99"/>
      <c r="U405" s="99"/>
    </row>
    <row r="406" spans="7:21" ht="15.75" customHeight="1" x14ac:dyDescent="0.3">
      <c r="G406" s="99"/>
      <c r="I406" s="99"/>
      <c r="U406" s="99"/>
    </row>
    <row r="407" spans="7:21" ht="15.75" customHeight="1" x14ac:dyDescent="0.3">
      <c r="G407" s="99"/>
      <c r="I407" s="99"/>
      <c r="U407" s="99"/>
    </row>
    <row r="408" spans="7:21" ht="15.75" customHeight="1" x14ac:dyDescent="0.3">
      <c r="G408" s="99"/>
      <c r="I408" s="99"/>
      <c r="U408" s="99"/>
    </row>
    <row r="409" spans="7:21" ht="15.75" customHeight="1" x14ac:dyDescent="0.3">
      <c r="G409" s="99"/>
      <c r="I409" s="99"/>
      <c r="U409" s="99"/>
    </row>
    <row r="410" spans="7:21" ht="15.75" customHeight="1" x14ac:dyDescent="0.3">
      <c r="G410" s="99"/>
      <c r="I410" s="99"/>
      <c r="U410" s="99"/>
    </row>
    <row r="411" spans="7:21" ht="15.75" customHeight="1" x14ac:dyDescent="0.3">
      <c r="G411" s="99"/>
      <c r="I411" s="99"/>
      <c r="U411" s="99"/>
    </row>
    <row r="412" spans="7:21" ht="15.75" customHeight="1" x14ac:dyDescent="0.3">
      <c r="G412" s="99"/>
      <c r="I412" s="99"/>
      <c r="U412" s="99"/>
    </row>
    <row r="413" spans="7:21" ht="15.75" customHeight="1" x14ac:dyDescent="0.3">
      <c r="G413" s="99"/>
      <c r="I413" s="99"/>
      <c r="U413" s="99"/>
    </row>
    <row r="414" spans="7:21" ht="15.75" customHeight="1" x14ac:dyDescent="0.3">
      <c r="G414" s="99"/>
      <c r="I414" s="99"/>
      <c r="U414" s="99"/>
    </row>
    <row r="415" spans="7:21" ht="15.75" customHeight="1" x14ac:dyDescent="0.3">
      <c r="G415" s="99"/>
      <c r="I415" s="99"/>
      <c r="U415" s="99"/>
    </row>
    <row r="416" spans="7:21" ht="15.75" customHeight="1" x14ac:dyDescent="0.3">
      <c r="G416" s="99"/>
      <c r="I416" s="99"/>
      <c r="U416" s="99"/>
    </row>
    <row r="417" spans="7:21" ht="15.75" customHeight="1" x14ac:dyDescent="0.3">
      <c r="G417" s="99"/>
      <c r="I417" s="99"/>
      <c r="U417" s="99"/>
    </row>
    <row r="418" spans="7:21" ht="15.75" customHeight="1" x14ac:dyDescent="0.3">
      <c r="G418" s="99"/>
      <c r="I418" s="99"/>
      <c r="U418" s="99"/>
    </row>
    <row r="419" spans="7:21" ht="15.75" customHeight="1" x14ac:dyDescent="0.3">
      <c r="G419" s="99"/>
      <c r="I419" s="99"/>
      <c r="U419" s="99"/>
    </row>
    <row r="420" spans="7:21" ht="15.75" customHeight="1" x14ac:dyDescent="0.3">
      <c r="G420" s="99"/>
      <c r="I420" s="99"/>
      <c r="U420" s="99"/>
    </row>
    <row r="421" spans="7:21" ht="15.75" customHeight="1" x14ac:dyDescent="0.3">
      <c r="G421" s="99"/>
      <c r="I421" s="99"/>
      <c r="U421" s="99"/>
    </row>
    <row r="422" spans="7:21" ht="15.75" customHeight="1" x14ac:dyDescent="0.3">
      <c r="G422" s="99"/>
      <c r="I422" s="99"/>
      <c r="U422" s="99"/>
    </row>
    <row r="423" spans="7:21" ht="15.75" customHeight="1" x14ac:dyDescent="0.3">
      <c r="G423" s="99"/>
      <c r="I423" s="99"/>
      <c r="U423" s="99"/>
    </row>
    <row r="424" spans="7:21" ht="15.75" customHeight="1" x14ac:dyDescent="0.3">
      <c r="G424" s="99"/>
      <c r="I424" s="99"/>
      <c r="U424" s="99"/>
    </row>
    <row r="425" spans="7:21" ht="15.75" customHeight="1" x14ac:dyDescent="0.3">
      <c r="G425" s="99"/>
      <c r="I425" s="99"/>
      <c r="U425" s="99"/>
    </row>
    <row r="426" spans="7:21" ht="15.75" customHeight="1" x14ac:dyDescent="0.3">
      <c r="G426" s="99"/>
      <c r="I426" s="99"/>
      <c r="U426" s="99"/>
    </row>
    <row r="427" spans="7:21" ht="15.75" customHeight="1" x14ac:dyDescent="0.3">
      <c r="G427" s="99"/>
      <c r="I427" s="99"/>
      <c r="U427" s="99"/>
    </row>
    <row r="428" spans="7:21" ht="15.75" customHeight="1" x14ac:dyDescent="0.3">
      <c r="G428" s="99"/>
      <c r="I428" s="99"/>
      <c r="U428" s="99"/>
    </row>
    <row r="429" spans="7:21" ht="15.75" customHeight="1" x14ac:dyDescent="0.3">
      <c r="G429" s="99"/>
      <c r="I429" s="99"/>
      <c r="U429" s="99"/>
    </row>
    <row r="430" spans="7:21" ht="15.75" customHeight="1" x14ac:dyDescent="0.3">
      <c r="G430" s="99"/>
      <c r="I430" s="99"/>
      <c r="U430" s="99"/>
    </row>
    <row r="431" spans="7:21" ht="15.75" customHeight="1" x14ac:dyDescent="0.3">
      <c r="G431" s="99"/>
      <c r="I431" s="99"/>
      <c r="U431" s="99"/>
    </row>
    <row r="432" spans="7:21" ht="15.75" customHeight="1" x14ac:dyDescent="0.3">
      <c r="G432" s="99"/>
      <c r="I432" s="99"/>
      <c r="U432" s="99"/>
    </row>
    <row r="433" spans="7:21" ht="15.75" customHeight="1" x14ac:dyDescent="0.3">
      <c r="G433" s="99"/>
      <c r="I433" s="99"/>
      <c r="U433" s="99"/>
    </row>
    <row r="434" spans="7:21" ht="15.75" customHeight="1" x14ac:dyDescent="0.3">
      <c r="G434" s="99"/>
      <c r="I434" s="99"/>
      <c r="U434" s="99"/>
    </row>
    <row r="435" spans="7:21" ht="15.75" customHeight="1" x14ac:dyDescent="0.3">
      <c r="G435" s="99"/>
      <c r="I435" s="99"/>
      <c r="U435" s="99"/>
    </row>
    <row r="436" spans="7:21" ht="15.75" customHeight="1" x14ac:dyDescent="0.3">
      <c r="G436" s="99"/>
      <c r="I436" s="99"/>
      <c r="U436" s="99"/>
    </row>
    <row r="437" spans="7:21" ht="15.75" customHeight="1" x14ac:dyDescent="0.3">
      <c r="G437" s="99"/>
      <c r="I437" s="99"/>
      <c r="U437" s="99"/>
    </row>
    <row r="438" spans="7:21" ht="15.75" customHeight="1" x14ac:dyDescent="0.3">
      <c r="G438" s="99"/>
      <c r="I438" s="99"/>
      <c r="U438" s="99"/>
    </row>
    <row r="439" spans="7:21" ht="15.75" customHeight="1" x14ac:dyDescent="0.3">
      <c r="G439" s="99"/>
      <c r="I439" s="99"/>
      <c r="U439" s="99"/>
    </row>
    <row r="440" spans="7:21" ht="15.75" customHeight="1" x14ac:dyDescent="0.3">
      <c r="G440" s="99"/>
      <c r="I440" s="99"/>
      <c r="U440" s="99"/>
    </row>
    <row r="441" spans="7:21" ht="15.75" customHeight="1" x14ac:dyDescent="0.3">
      <c r="G441" s="99"/>
      <c r="I441" s="99"/>
      <c r="U441" s="99"/>
    </row>
    <row r="442" spans="7:21" ht="15.75" customHeight="1" x14ac:dyDescent="0.3">
      <c r="G442" s="99"/>
      <c r="I442" s="99"/>
      <c r="U442" s="99"/>
    </row>
    <row r="443" spans="7:21" ht="15.75" customHeight="1" x14ac:dyDescent="0.3">
      <c r="G443" s="99"/>
      <c r="I443" s="99"/>
      <c r="U443" s="99"/>
    </row>
    <row r="444" spans="7:21" ht="15.75" customHeight="1" x14ac:dyDescent="0.3">
      <c r="G444" s="99"/>
      <c r="I444" s="99"/>
      <c r="U444" s="99"/>
    </row>
    <row r="445" spans="7:21" ht="15.75" customHeight="1" x14ac:dyDescent="0.3">
      <c r="G445" s="99"/>
      <c r="I445" s="99"/>
      <c r="U445" s="99"/>
    </row>
    <row r="446" spans="7:21" ht="15.75" customHeight="1" x14ac:dyDescent="0.3">
      <c r="G446" s="99"/>
      <c r="I446" s="99"/>
      <c r="U446" s="99"/>
    </row>
    <row r="447" spans="7:21" ht="15.75" customHeight="1" x14ac:dyDescent="0.3">
      <c r="G447" s="99"/>
      <c r="I447" s="99"/>
      <c r="U447" s="99"/>
    </row>
    <row r="448" spans="7:21" ht="15.75" customHeight="1" x14ac:dyDescent="0.3">
      <c r="G448" s="99"/>
      <c r="I448" s="99"/>
      <c r="U448" s="99"/>
    </row>
    <row r="449" spans="7:21" ht="15.75" customHeight="1" x14ac:dyDescent="0.3">
      <c r="G449" s="99"/>
      <c r="I449" s="99"/>
      <c r="U449" s="99"/>
    </row>
    <row r="450" spans="7:21" ht="15.75" customHeight="1" x14ac:dyDescent="0.3">
      <c r="G450" s="99"/>
      <c r="I450" s="99"/>
      <c r="U450" s="99"/>
    </row>
    <row r="451" spans="7:21" ht="15.75" customHeight="1" x14ac:dyDescent="0.3">
      <c r="G451" s="99"/>
      <c r="I451" s="99"/>
      <c r="U451" s="99"/>
    </row>
    <row r="452" spans="7:21" ht="15.75" customHeight="1" x14ac:dyDescent="0.3">
      <c r="G452" s="99"/>
      <c r="I452" s="99"/>
      <c r="U452" s="99"/>
    </row>
    <row r="453" spans="7:21" ht="15.75" customHeight="1" x14ac:dyDescent="0.3">
      <c r="G453" s="99"/>
      <c r="I453" s="99"/>
      <c r="U453" s="99"/>
    </row>
    <row r="454" spans="7:21" ht="15.75" customHeight="1" x14ac:dyDescent="0.3">
      <c r="G454" s="99"/>
      <c r="I454" s="99"/>
      <c r="U454" s="99"/>
    </row>
    <row r="455" spans="7:21" ht="15.75" customHeight="1" x14ac:dyDescent="0.3">
      <c r="G455" s="99"/>
      <c r="I455" s="99"/>
      <c r="U455" s="99"/>
    </row>
    <row r="456" spans="7:21" ht="15.75" customHeight="1" x14ac:dyDescent="0.3">
      <c r="G456" s="99"/>
      <c r="I456" s="99"/>
      <c r="U456" s="99"/>
    </row>
    <row r="457" spans="7:21" ht="15.75" customHeight="1" x14ac:dyDescent="0.3">
      <c r="G457" s="99"/>
      <c r="I457" s="99"/>
      <c r="U457" s="99"/>
    </row>
    <row r="458" spans="7:21" ht="15.75" customHeight="1" x14ac:dyDescent="0.3">
      <c r="G458" s="99"/>
      <c r="I458" s="99"/>
      <c r="U458" s="99"/>
    </row>
    <row r="459" spans="7:21" ht="15.75" customHeight="1" x14ac:dyDescent="0.3">
      <c r="G459" s="99"/>
      <c r="I459" s="99"/>
      <c r="U459" s="99"/>
    </row>
    <row r="460" spans="7:21" ht="15.75" customHeight="1" x14ac:dyDescent="0.3">
      <c r="G460" s="99"/>
      <c r="I460" s="99"/>
      <c r="U460" s="99"/>
    </row>
    <row r="461" spans="7:21" ht="15.75" customHeight="1" x14ac:dyDescent="0.3">
      <c r="G461" s="99"/>
      <c r="I461" s="99"/>
      <c r="U461" s="99"/>
    </row>
    <row r="462" spans="7:21" ht="15.75" customHeight="1" x14ac:dyDescent="0.3">
      <c r="G462" s="99"/>
      <c r="I462" s="99"/>
      <c r="U462" s="99"/>
    </row>
    <row r="463" spans="7:21" ht="15.75" customHeight="1" x14ac:dyDescent="0.3">
      <c r="G463" s="99"/>
      <c r="I463" s="99"/>
      <c r="U463" s="99"/>
    </row>
    <row r="464" spans="7:21" ht="15.75" customHeight="1" x14ac:dyDescent="0.3">
      <c r="G464" s="99"/>
      <c r="I464" s="99"/>
      <c r="U464" s="99"/>
    </row>
    <row r="465" spans="7:21" ht="15.75" customHeight="1" x14ac:dyDescent="0.3">
      <c r="G465" s="99"/>
      <c r="I465" s="99"/>
      <c r="U465" s="99"/>
    </row>
    <row r="466" spans="7:21" ht="15.75" customHeight="1" x14ac:dyDescent="0.3">
      <c r="G466" s="99"/>
      <c r="I466" s="99"/>
      <c r="U466" s="99"/>
    </row>
    <row r="467" spans="7:21" ht="15.75" customHeight="1" x14ac:dyDescent="0.3">
      <c r="G467" s="99"/>
      <c r="I467" s="99"/>
      <c r="U467" s="99"/>
    </row>
    <row r="468" spans="7:21" ht="15.75" customHeight="1" x14ac:dyDescent="0.3">
      <c r="G468" s="99"/>
      <c r="I468" s="99"/>
      <c r="U468" s="99"/>
    </row>
    <row r="469" spans="7:21" ht="15.75" customHeight="1" x14ac:dyDescent="0.3">
      <c r="G469" s="99"/>
      <c r="I469" s="99"/>
      <c r="U469" s="99"/>
    </row>
    <row r="470" spans="7:21" ht="15.75" customHeight="1" x14ac:dyDescent="0.3">
      <c r="G470" s="99"/>
      <c r="I470" s="99"/>
      <c r="U470" s="99"/>
    </row>
    <row r="471" spans="7:21" ht="15.75" customHeight="1" x14ac:dyDescent="0.3">
      <c r="G471" s="99"/>
      <c r="I471" s="99"/>
      <c r="U471" s="99"/>
    </row>
    <row r="472" spans="7:21" ht="15.75" customHeight="1" x14ac:dyDescent="0.3">
      <c r="G472" s="99"/>
      <c r="I472" s="99"/>
      <c r="U472" s="99"/>
    </row>
    <row r="473" spans="7:21" ht="15.75" customHeight="1" x14ac:dyDescent="0.3">
      <c r="G473" s="99"/>
      <c r="I473" s="99"/>
      <c r="U473" s="99"/>
    </row>
    <row r="474" spans="7:21" ht="15.75" customHeight="1" x14ac:dyDescent="0.3">
      <c r="G474" s="99"/>
      <c r="I474" s="99"/>
      <c r="U474" s="99"/>
    </row>
    <row r="475" spans="7:21" ht="15.75" customHeight="1" x14ac:dyDescent="0.3">
      <c r="G475" s="99"/>
      <c r="I475" s="99"/>
      <c r="U475" s="99"/>
    </row>
    <row r="476" spans="7:21" ht="15.75" customHeight="1" x14ac:dyDescent="0.3">
      <c r="G476" s="99"/>
      <c r="I476" s="99"/>
      <c r="U476" s="99"/>
    </row>
    <row r="477" spans="7:21" ht="15.75" customHeight="1" x14ac:dyDescent="0.3">
      <c r="G477" s="99"/>
      <c r="I477" s="99"/>
      <c r="U477" s="99"/>
    </row>
    <row r="478" spans="7:21" ht="15.75" customHeight="1" x14ac:dyDescent="0.3">
      <c r="G478" s="99"/>
      <c r="I478" s="99"/>
      <c r="U478" s="99"/>
    </row>
    <row r="479" spans="7:21" ht="15.75" customHeight="1" x14ac:dyDescent="0.3">
      <c r="G479" s="99"/>
      <c r="I479" s="99"/>
      <c r="U479" s="99"/>
    </row>
    <row r="480" spans="7:21" ht="15.75" customHeight="1" x14ac:dyDescent="0.3">
      <c r="G480" s="99"/>
      <c r="I480" s="99"/>
      <c r="U480" s="99"/>
    </row>
    <row r="481" spans="7:21" ht="15.75" customHeight="1" x14ac:dyDescent="0.3">
      <c r="G481" s="99"/>
      <c r="I481" s="99"/>
      <c r="U481" s="99"/>
    </row>
    <row r="482" spans="7:21" ht="15.75" customHeight="1" x14ac:dyDescent="0.3">
      <c r="G482" s="99"/>
      <c r="I482" s="99"/>
      <c r="U482" s="99"/>
    </row>
    <row r="483" spans="7:21" ht="15.75" customHeight="1" x14ac:dyDescent="0.3">
      <c r="G483" s="99"/>
      <c r="I483" s="99"/>
      <c r="U483" s="99"/>
    </row>
    <row r="484" spans="7:21" ht="15.75" customHeight="1" x14ac:dyDescent="0.3">
      <c r="G484" s="99"/>
      <c r="I484" s="99"/>
      <c r="U484" s="99"/>
    </row>
    <row r="485" spans="7:21" ht="15.75" customHeight="1" x14ac:dyDescent="0.3">
      <c r="G485" s="99"/>
      <c r="I485" s="99"/>
      <c r="U485" s="99"/>
    </row>
    <row r="486" spans="7:21" ht="15.75" customHeight="1" x14ac:dyDescent="0.3">
      <c r="G486" s="99"/>
      <c r="I486" s="99"/>
      <c r="U486" s="99"/>
    </row>
    <row r="487" spans="7:21" ht="15.75" customHeight="1" x14ac:dyDescent="0.3">
      <c r="G487" s="99"/>
      <c r="I487" s="99"/>
      <c r="U487" s="99"/>
    </row>
    <row r="488" spans="7:21" ht="15.75" customHeight="1" x14ac:dyDescent="0.3">
      <c r="G488" s="99"/>
      <c r="I488" s="99"/>
      <c r="U488" s="99"/>
    </row>
    <row r="489" spans="7:21" ht="15.75" customHeight="1" x14ac:dyDescent="0.3">
      <c r="G489" s="99"/>
      <c r="I489" s="99"/>
      <c r="U489" s="99"/>
    </row>
    <row r="490" spans="7:21" ht="15.75" customHeight="1" x14ac:dyDescent="0.3">
      <c r="G490" s="99"/>
      <c r="I490" s="99"/>
      <c r="U490" s="99"/>
    </row>
    <row r="491" spans="7:21" ht="15.75" customHeight="1" x14ac:dyDescent="0.3">
      <c r="G491" s="99"/>
      <c r="I491" s="99"/>
      <c r="U491" s="99"/>
    </row>
    <row r="492" spans="7:21" ht="15.75" customHeight="1" x14ac:dyDescent="0.3">
      <c r="G492" s="99"/>
      <c r="I492" s="99"/>
      <c r="U492" s="99"/>
    </row>
    <row r="493" spans="7:21" ht="15.75" customHeight="1" x14ac:dyDescent="0.3">
      <c r="G493" s="99"/>
      <c r="I493" s="99"/>
      <c r="U493" s="99"/>
    </row>
    <row r="494" spans="7:21" ht="15.75" customHeight="1" x14ac:dyDescent="0.3">
      <c r="G494" s="99"/>
      <c r="I494" s="99"/>
      <c r="U494" s="99"/>
    </row>
    <row r="495" spans="7:21" ht="15.75" customHeight="1" x14ac:dyDescent="0.3">
      <c r="G495" s="99"/>
      <c r="I495" s="99"/>
      <c r="U495" s="99"/>
    </row>
    <row r="496" spans="7:21" ht="15.75" customHeight="1" x14ac:dyDescent="0.3">
      <c r="G496" s="99"/>
      <c r="I496" s="99"/>
      <c r="U496" s="99"/>
    </row>
    <row r="497" spans="7:21" ht="15.75" customHeight="1" x14ac:dyDescent="0.3">
      <c r="G497" s="99"/>
      <c r="I497" s="99"/>
      <c r="U497" s="99"/>
    </row>
    <row r="498" spans="7:21" ht="15.75" customHeight="1" x14ac:dyDescent="0.3">
      <c r="G498" s="99"/>
      <c r="I498" s="99"/>
      <c r="U498" s="99"/>
    </row>
    <row r="499" spans="7:21" ht="15.75" customHeight="1" x14ac:dyDescent="0.3">
      <c r="G499" s="99"/>
      <c r="I499" s="99"/>
      <c r="U499" s="99"/>
    </row>
    <row r="500" spans="7:21" ht="15.75" customHeight="1" x14ac:dyDescent="0.3">
      <c r="G500" s="99"/>
      <c r="I500" s="99"/>
      <c r="U500" s="99"/>
    </row>
    <row r="501" spans="7:21" ht="15.75" customHeight="1" x14ac:dyDescent="0.3">
      <c r="G501" s="99"/>
      <c r="I501" s="99"/>
      <c r="U501" s="99"/>
    </row>
    <row r="502" spans="7:21" ht="15.75" customHeight="1" x14ac:dyDescent="0.3">
      <c r="G502" s="99"/>
      <c r="I502" s="99"/>
      <c r="U502" s="99"/>
    </row>
    <row r="503" spans="7:21" ht="15.75" customHeight="1" x14ac:dyDescent="0.3">
      <c r="G503" s="99"/>
      <c r="I503" s="99"/>
      <c r="U503" s="99"/>
    </row>
    <row r="504" spans="7:21" ht="15.75" customHeight="1" x14ac:dyDescent="0.3">
      <c r="G504" s="99"/>
      <c r="I504" s="99"/>
      <c r="U504" s="99"/>
    </row>
    <row r="505" spans="7:21" ht="15.75" customHeight="1" x14ac:dyDescent="0.3">
      <c r="G505" s="99"/>
      <c r="I505" s="99"/>
      <c r="U505" s="99"/>
    </row>
    <row r="506" spans="7:21" ht="15.75" customHeight="1" x14ac:dyDescent="0.3">
      <c r="G506" s="99"/>
      <c r="I506" s="99"/>
      <c r="U506" s="99"/>
    </row>
    <row r="507" spans="7:21" ht="15.75" customHeight="1" x14ac:dyDescent="0.3">
      <c r="G507" s="99"/>
      <c r="I507" s="99"/>
      <c r="U507" s="99"/>
    </row>
    <row r="508" spans="7:21" ht="15.75" customHeight="1" x14ac:dyDescent="0.3">
      <c r="G508" s="99"/>
      <c r="I508" s="99"/>
      <c r="U508" s="99"/>
    </row>
    <row r="509" spans="7:21" ht="15.75" customHeight="1" x14ac:dyDescent="0.3">
      <c r="G509" s="99"/>
      <c r="I509" s="99"/>
      <c r="U509" s="99"/>
    </row>
    <row r="510" spans="7:21" ht="15.75" customHeight="1" x14ac:dyDescent="0.3">
      <c r="G510" s="99"/>
      <c r="I510" s="99"/>
      <c r="U510" s="99"/>
    </row>
    <row r="511" spans="7:21" ht="15.75" customHeight="1" x14ac:dyDescent="0.3">
      <c r="G511" s="99"/>
      <c r="I511" s="99"/>
      <c r="U511" s="99"/>
    </row>
    <row r="512" spans="7:21" ht="15.75" customHeight="1" x14ac:dyDescent="0.3">
      <c r="G512" s="99"/>
      <c r="I512" s="99"/>
      <c r="U512" s="99"/>
    </row>
    <row r="513" spans="7:21" ht="15.75" customHeight="1" x14ac:dyDescent="0.3">
      <c r="G513" s="99"/>
      <c r="I513" s="99"/>
      <c r="U513" s="99"/>
    </row>
    <row r="514" spans="7:21" ht="15.75" customHeight="1" x14ac:dyDescent="0.3">
      <c r="G514" s="99"/>
      <c r="I514" s="99"/>
      <c r="U514" s="99"/>
    </row>
    <row r="515" spans="7:21" ht="15.75" customHeight="1" x14ac:dyDescent="0.3">
      <c r="G515" s="99"/>
      <c r="I515" s="99"/>
      <c r="U515" s="99"/>
    </row>
    <row r="516" spans="7:21" ht="15.75" customHeight="1" x14ac:dyDescent="0.3">
      <c r="G516" s="99"/>
      <c r="I516" s="99"/>
      <c r="U516" s="99"/>
    </row>
    <row r="517" spans="7:21" ht="15.75" customHeight="1" x14ac:dyDescent="0.3">
      <c r="G517" s="99"/>
      <c r="I517" s="99"/>
      <c r="U517" s="99"/>
    </row>
    <row r="518" spans="7:21" ht="15.75" customHeight="1" x14ac:dyDescent="0.3">
      <c r="G518" s="99"/>
      <c r="I518" s="99"/>
      <c r="U518" s="99"/>
    </row>
    <row r="519" spans="7:21" ht="15.75" customHeight="1" x14ac:dyDescent="0.3">
      <c r="G519" s="99"/>
      <c r="I519" s="99"/>
      <c r="U519" s="99"/>
    </row>
    <row r="520" spans="7:21" ht="15.75" customHeight="1" x14ac:dyDescent="0.3">
      <c r="G520" s="99"/>
      <c r="I520" s="99"/>
      <c r="U520" s="99"/>
    </row>
    <row r="521" spans="7:21" ht="15.75" customHeight="1" x14ac:dyDescent="0.3">
      <c r="G521" s="99"/>
      <c r="I521" s="99"/>
      <c r="U521" s="99"/>
    </row>
    <row r="522" spans="7:21" ht="15.75" customHeight="1" x14ac:dyDescent="0.3">
      <c r="G522" s="99"/>
      <c r="I522" s="99"/>
      <c r="U522" s="99"/>
    </row>
    <row r="523" spans="7:21" ht="15.75" customHeight="1" x14ac:dyDescent="0.3">
      <c r="G523" s="99"/>
      <c r="I523" s="99"/>
      <c r="U523" s="99"/>
    </row>
    <row r="524" spans="7:21" ht="15.75" customHeight="1" x14ac:dyDescent="0.3">
      <c r="G524" s="99"/>
      <c r="I524" s="99"/>
      <c r="U524" s="99"/>
    </row>
    <row r="525" spans="7:21" ht="15.75" customHeight="1" x14ac:dyDescent="0.3">
      <c r="G525" s="99"/>
      <c r="I525" s="99"/>
      <c r="U525" s="99"/>
    </row>
    <row r="526" spans="7:21" ht="15.75" customHeight="1" x14ac:dyDescent="0.3">
      <c r="G526" s="99"/>
      <c r="I526" s="99"/>
      <c r="U526" s="99"/>
    </row>
    <row r="527" spans="7:21" ht="15.75" customHeight="1" x14ac:dyDescent="0.3">
      <c r="G527" s="99"/>
      <c r="I527" s="99"/>
      <c r="U527" s="99"/>
    </row>
    <row r="528" spans="7:21" ht="15.75" customHeight="1" x14ac:dyDescent="0.3">
      <c r="G528" s="99"/>
      <c r="I528" s="99"/>
      <c r="U528" s="99"/>
    </row>
    <row r="529" spans="7:21" ht="15.75" customHeight="1" x14ac:dyDescent="0.3">
      <c r="G529" s="99"/>
      <c r="I529" s="99"/>
      <c r="U529" s="99"/>
    </row>
    <row r="530" spans="7:21" ht="15.75" customHeight="1" x14ac:dyDescent="0.3">
      <c r="G530" s="99"/>
      <c r="I530" s="99"/>
      <c r="U530" s="99"/>
    </row>
    <row r="531" spans="7:21" ht="15.75" customHeight="1" x14ac:dyDescent="0.3">
      <c r="G531" s="99"/>
      <c r="I531" s="99"/>
      <c r="U531" s="99"/>
    </row>
    <row r="532" spans="7:21" ht="15.75" customHeight="1" x14ac:dyDescent="0.3">
      <c r="G532" s="99"/>
      <c r="I532" s="99"/>
      <c r="U532" s="99"/>
    </row>
    <row r="533" spans="7:21" ht="15.75" customHeight="1" x14ac:dyDescent="0.3">
      <c r="G533" s="99"/>
      <c r="I533" s="99"/>
      <c r="U533" s="99"/>
    </row>
    <row r="534" spans="7:21" ht="15.75" customHeight="1" x14ac:dyDescent="0.3">
      <c r="G534" s="99"/>
      <c r="I534" s="99"/>
      <c r="U534" s="99"/>
    </row>
    <row r="535" spans="7:21" ht="15.75" customHeight="1" x14ac:dyDescent="0.3">
      <c r="G535" s="99"/>
      <c r="I535" s="99"/>
      <c r="U535" s="99"/>
    </row>
    <row r="536" spans="7:21" ht="15.75" customHeight="1" x14ac:dyDescent="0.3">
      <c r="G536" s="99"/>
      <c r="I536" s="99"/>
      <c r="U536" s="99"/>
    </row>
    <row r="537" spans="7:21" ht="15.75" customHeight="1" x14ac:dyDescent="0.3">
      <c r="G537" s="99"/>
      <c r="I537" s="99"/>
      <c r="U537" s="99"/>
    </row>
    <row r="538" spans="7:21" ht="15.75" customHeight="1" x14ac:dyDescent="0.3">
      <c r="G538" s="99"/>
      <c r="I538" s="99"/>
      <c r="U538" s="99"/>
    </row>
    <row r="539" spans="7:21" ht="15.75" customHeight="1" x14ac:dyDescent="0.3">
      <c r="G539" s="99"/>
      <c r="I539" s="99"/>
      <c r="U539" s="99"/>
    </row>
    <row r="540" spans="7:21" ht="15.75" customHeight="1" x14ac:dyDescent="0.3">
      <c r="G540" s="99"/>
      <c r="I540" s="99"/>
      <c r="U540" s="99"/>
    </row>
    <row r="541" spans="7:21" ht="15.75" customHeight="1" x14ac:dyDescent="0.3">
      <c r="G541" s="99"/>
      <c r="I541" s="99"/>
      <c r="U541" s="99"/>
    </row>
    <row r="542" spans="7:21" ht="15.75" customHeight="1" x14ac:dyDescent="0.3">
      <c r="G542" s="99"/>
      <c r="I542" s="99"/>
      <c r="U542" s="99"/>
    </row>
    <row r="543" spans="7:21" ht="15.75" customHeight="1" x14ac:dyDescent="0.3">
      <c r="G543" s="99"/>
      <c r="I543" s="99"/>
      <c r="U543" s="99"/>
    </row>
    <row r="544" spans="7:21" ht="15.75" customHeight="1" x14ac:dyDescent="0.3">
      <c r="G544" s="99"/>
      <c r="I544" s="99"/>
      <c r="U544" s="99"/>
    </row>
    <row r="545" spans="7:21" ht="15.75" customHeight="1" x14ac:dyDescent="0.3">
      <c r="G545" s="99"/>
      <c r="I545" s="99"/>
      <c r="U545" s="99"/>
    </row>
    <row r="546" spans="7:21" ht="15.75" customHeight="1" x14ac:dyDescent="0.3">
      <c r="G546" s="99"/>
      <c r="I546" s="99"/>
      <c r="U546" s="99"/>
    </row>
    <row r="547" spans="7:21" ht="15.75" customHeight="1" x14ac:dyDescent="0.3">
      <c r="G547" s="99"/>
      <c r="I547" s="99"/>
      <c r="U547" s="99"/>
    </row>
    <row r="548" spans="7:21" ht="15.75" customHeight="1" x14ac:dyDescent="0.3">
      <c r="G548" s="99"/>
      <c r="I548" s="99"/>
      <c r="U548" s="99"/>
    </row>
    <row r="549" spans="7:21" ht="15.75" customHeight="1" x14ac:dyDescent="0.3">
      <c r="G549" s="99"/>
      <c r="I549" s="99"/>
      <c r="U549" s="99"/>
    </row>
    <row r="550" spans="7:21" ht="15.75" customHeight="1" x14ac:dyDescent="0.3">
      <c r="G550" s="99"/>
      <c r="I550" s="99"/>
      <c r="U550" s="99"/>
    </row>
    <row r="551" spans="7:21" ht="15.75" customHeight="1" x14ac:dyDescent="0.3">
      <c r="G551" s="99"/>
      <c r="I551" s="99"/>
      <c r="U551" s="99"/>
    </row>
    <row r="552" spans="7:21" ht="15.75" customHeight="1" x14ac:dyDescent="0.3">
      <c r="G552" s="99"/>
      <c r="I552" s="99"/>
      <c r="U552" s="99"/>
    </row>
    <row r="553" spans="7:21" ht="15.75" customHeight="1" x14ac:dyDescent="0.3">
      <c r="G553" s="99"/>
      <c r="I553" s="99"/>
      <c r="U553" s="99"/>
    </row>
    <row r="554" spans="7:21" ht="15.75" customHeight="1" x14ac:dyDescent="0.3">
      <c r="G554" s="99"/>
      <c r="I554" s="99"/>
      <c r="U554" s="99"/>
    </row>
    <row r="555" spans="7:21" ht="15.75" customHeight="1" x14ac:dyDescent="0.3">
      <c r="G555" s="99"/>
      <c r="I555" s="99"/>
      <c r="U555" s="99"/>
    </row>
    <row r="556" spans="7:21" ht="15.75" customHeight="1" x14ac:dyDescent="0.3">
      <c r="G556" s="99"/>
      <c r="I556" s="99"/>
      <c r="U556" s="99"/>
    </row>
    <row r="557" spans="7:21" ht="15.75" customHeight="1" x14ac:dyDescent="0.3">
      <c r="G557" s="99"/>
      <c r="I557" s="99"/>
      <c r="U557" s="99"/>
    </row>
    <row r="558" spans="7:21" ht="15.75" customHeight="1" x14ac:dyDescent="0.3">
      <c r="G558" s="99"/>
      <c r="I558" s="99"/>
      <c r="U558" s="99"/>
    </row>
    <row r="559" spans="7:21" ht="15.75" customHeight="1" x14ac:dyDescent="0.3">
      <c r="G559" s="99"/>
      <c r="I559" s="99"/>
      <c r="U559" s="99"/>
    </row>
    <row r="560" spans="7:21" ht="15.75" customHeight="1" x14ac:dyDescent="0.3">
      <c r="G560" s="99"/>
      <c r="I560" s="99"/>
      <c r="U560" s="99"/>
    </row>
    <row r="561" spans="7:21" ht="15.75" customHeight="1" x14ac:dyDescent="0.3">
      <c r="G561" s="99"/>
      <c r="I561" s="99"/>
      <c r="U561" s="99"/>
    </row>
    <row r="562" spans="7:21" ht="15.75" customHeight="1" x14ac:dyDescent="0.3">
      <c r="G562" s="99"/>
      <c r="I562" s="99"/>
      <c r="U562" s="99"/>
    </row>
    <row r="563" spans="7:21" ht="15.75" customHeight="1" x14ac:dyDescent="0.3">
      <c r="G563" s="99"/>
      <c r="I563" s="99"/>
      <c r="U563" s="99"/>
    </row>
    <row r="564" spans="7:21" ht="15.75" customHeight="1" x14ac:dyDescent="0.3">
      <c r="G564" s="99"/>
      <c r="I564" s="99"/>
      <c r="U564" s="99"/>
    </row>
    <row r="565" spans="7:21" ht="15.75" customHeight="1" x14ac:dyDescent="0.3">
      <c r="G565" s="99"/>
      <c r="I565" s="99"/>
      <c r="U565" s="99"/>
    </row>
    <row r="566" spans="7:21" ht="15.75" customHeight="1" x14ac:dyDescent="0.3">
      <c r="G566" s="99"/>
      <c r="I566" s="99"/>
      <c r="U566" s="99"/>
    </row>
    <row r="567" spans="7:21" ht="15.75" customHeight="1" x14ac:dyDescent="0.3">
      <c r="G567" s="99"/>
      <c r="I567" s="99"/>
      <c r="U567" s="99"/>
    </row>
    <row r="568" spans="7:21" ht="15.75" customHeight="1" x14ac:dyDescent="0.3">
      <c r="G568" s="99"/>
      <c r="I568" s="99"/>
      <c r="U568" s="99"/>
    </row>
    <row r="569" spans="7:21" ht="15.75" customHeight="1" x14ac:dyDescent="0.3">
      <c r="G569" s="99"/>
      <c r="I569" s="99"/>
      <c r="U569" s="99"/>
    </row>
    <row r="570" spans="7:21" ht="15.75" customHeight="1" x14ac:dyDescent="0.3">
      <c r="G570" s="99"/>
      <c r="I570" s="99"/>
      <c r="U570" s="99"/>
    </row>
    <row r="571" spans="7:21" ht="15.75" customHeight="1" x14ac:dyDescent="0.3">
      <c r="G571" s="99"/>
      <c r="I571" s="99"/>
      <c r="U571" s="99"/>
    </row>
    <row r="572" spans="7:21" ht="15.75" customHeight="1" x14ac:dyDescent="0.3">
      <c r="G572" s="99"/>
      <c r="I572" s="99"/>
      <c r="U572" s="99"/>
    </row>
    <row r="573" spans="7:21" ht="15.75" customHeight="1" x14ac:dyDescent="0.3">
      <c r="G573" s="99"/>
      <c r="I573" s="99"/>
      <c r="U573" s="99"/>
    </row>
    <row r="574" spans="7:21" ht="15.75" customHeight="1" x14ac:dyDescent="0.3">
      <c r="G574" s="99"/>
      <c r="I574" s="99"/>
      <c r="U574" s="99"/>
    </row>
    <row r="575" spans="7:21" ht="15.75" customHeight="1" x14ac:dyDescent="0.3">
      <c r="G575" s="99"/>
      <c r="I575" s="99"/>
      <c r="U575" s="99"/>
    </row>
    <row r="576" spans="7:21" ht="15.75" customHeight="1" x14ac:dyDescent="0.3">
      <c r="G576" s="99"/>
      <c r="I576" s="99"/>
      <c r="U576" s="99"/>
    </row>
    <row r="577" spans="7:21" ht="15.75" customHeight="1" x14ac:dyDescent="0.3">
      <c r="G577" s="99"/>
      <c r="I577" s="99"/>
      <c r="U577" s="99"/>
    </row>
    <row r="578" spans="7:21" ht="15.75" customHeight="1" x14ac:dyDescent="0.3">
      <c r="G578" s="99"/>
      <c r="I578" s="99"/>
      <c r="U578" s="99"/>
    </row>
    <row r="579" spans="7:21" ht="15.75" customHeight="1" x14ac:dyDescent="0.3">
      <c r="G579" s="99"/>
      <c r="I579" s="99"/>
      <c r="U579" s="99"/>
    </row>
    <row r="580" spans="7:21" ht="15.75" customHeight="1" x14ac:dyDescent="0.3">
      <c r="G580" s="99"/>
      <c r="I580" s="99"/>
      <c r="U580" s="99"/>
    </row>
    <row r="581" spans="7:21" ht="15.75" customHeight="1" x14ac:dyDescent="0.3">
      <c r="G581" s="99"/>
      <c r="I581" s="99"/>
      <c r="U581" s="99"/>
    </row>
    <row r="582" spans="7:21" ht="15.75" customHeight="1" x14ac:dyDescent="0.3">
      <c r="G582" s="99"/>
      <c r="I582" s="99"/>
      <c r="U582" s="99"/>
    </row>
    <row r="583" spans="7:21" ht="15.75" customHeight="1" x14ac:dyDescent="0.3">
      <c r="G583" s="99"/>
      <c r="I583" s="99"/>
      <c r="U583" s="99"/>
    </row>
    <row r="584" spans="7:21" ht="15.75" customHeight="1" x14ac:dyDescent="0.3">
      <c r="G584" s="99"/>
      <c r="I584" s="99"/>
      <c r="U584" s="99"/>
    </row>
    <row r="585" spans="7:21" ht="15.75" customHeight="1" x14ac:dyDescent="0.3">
      <c r="G585" s="99"/>
      <c r="I585" s="99"/>
      <c r="U585" s="99"/>
    </row>
    <row r="586" spans="7:21" ht="15.75" customHeight="1" x14ac:dyDescent="0.3">
      <c r="G586" s="99"/>
      <c r="I586" s="99"/>
      <c r="U586" s="99"/>
    </row>
    <row r="587" spans="7:21" ht="15.75" customHeight="1" x14ac:dyDescent="0.3">
      <c r="G587" s="99"/>
      <c r="I587" s="99"/>
      <c r="U587" s="99"/>
    </row>
    <row r="588" spans="7:21" ht="15.75" customHeight="1" x14ac:dyDescent="0.3">
      <c r="G588" s="99"/>
      <c r="I588" s="99"/>
      <c r="U588" s="99"/>
    </row>
    <row r="589" spans="7:21" ht="15.75" customHeight="1" x14ac:dyDescent="0.3">
      <c r="G589" s="99"/>
      <c r="I589" s="99"/>
      <c r="U589" s="99"/>
    </row>
    <row r="590" spans="7:21" ht="15.75" customHeight="1" x14ac:dyDescent="0.3">
      <c r="G590" s="99"/>
      <c r="I590" s="99"/>
      <c r="U590" s="99"/>
    </row>
    <row r="591" spans="7:21" ht="15.75" customHeight="1" x14ac:dyDescent="0.3">
      <c r="G591" s="99"/>
      <c r="I591" s="99"/>
      <c r="U591" s="99"/>
    </row>
    <row r="592" spans="7:21" ht="15.75" customHeight="1" x14ac:dyDescent="0.3">
      <c r="G592" s="99"/>
      <c r="I592" s="99"/>
      <c r="U592" s="99"/>
    </row>
    <row r="593" spans="7:21" ht="15.75" customHeight="1" x14ac:dyDescent="0.3">
      <c r="G593" s="99"/>
      <c r="I593" s="99"/>
      <c r="U593" s="99"/>
    </row>
    <row r="594" spans="7:21" ht="15.75" customHeight="1" x14ac:dyDescent="0.3">
      <c r="G594" s="99"/>
      <c r="I594" s="99"/>
      <c r="U594" s="99"/>
    </row>
    <row r="595" spans="7:21" ht="15.75" customHeight="1" x14ac:dyDescent="0.3">
      <c r="G595" s="99"/>
      <c r="I595" s="99"/>
      <c r="U595" s="99"/>
    </row>
    <row r="596" spans="7:21" ht="15.75" customHeight="1" x14ac:dyDescent="0.3">
      <c r="G596" s="99"/>
      <c r="I596" s="99"/>
      <c r="U596" s="99"/>
    </row>
    <row r="597" spans="7:21" ht="15.75" customHeight="1" x14ac:dyDescent="0.3">
      <c r="G597" s="99"/>
      <c r="I597" s="99"/>
      <c r="U597" s="99"/>
    </row>
    <row r="598" spans="7:21" ht="15.75" customHeight="1" x14ac:dyDescent="0.3">
      <c r="G598" s="99"/>
      <c r="I598" s="99"/>
      <c r="U598" s="99"/>
    </row>
    <row r="599" spans="7:21" ht="15.75" customHeight="1" x14ac:dyDescent="0.3">
      <c r="G599" s="99"/>
      <c r="I599" s="99"/>
      <c r="U599" s="99"/>
    </row>
    <row r="600" spans="7:21" ht="15.75" customHeight="1" x14ac:dyDescent="0.3">
      <c r="G600" s="99"/>
      <c r="I600" s="99"/>
      <c r="U600" s="99"/>
    </row>
    <row r="601" spans="7:21" ht="15.75" customHeight="1" x14ac:dyDescent="0.3">
      <c r="G601" s="99"/>
      <c r="I601" s="99"/>
      <c r="U601" s="99"/>
    </row>
    <row r="602" spans="7:21" ht="15.75" customHeight="1" x14ac:dyDescent="0.3">
      <c r="G602" s="99"/>
      <c r="I602" s="99"/>
      <c r="U602" s="99"/>
    </row>
    <row r="603" spans="7:21" ht="15.75" customHeight="1" x14ac:dyDescent="0.3">
      <c r="G603" s="99"/>
      <c r="I603" s="99"/>
      <c r="U603" s="99"/>
    </row>
    <row r="604" spans="7:21" ht="15.75" customHeight="1" x14ac:dyDescent="0.3">
      <c r="G604" s="99"/>
      <c r="I604" s="99"/>
      <c r="U604" s="99"/>
    </row>
    <row r="605" spans="7:21" ht="15.75" customHeight="1" x14ac:dyDescent="0.3">
      <c r="G605" s="99"/>
      <c r="I605" s="99"/>
      <c r="U605" s="99"/>
    </row>
    <row r="606" spans="7:21" ht="15.75" customHeight="1" x14ac:dyDescent="0.3">
      <c r="G606" s="99"/>
      <c r="I606" s="99"/>
      <c r="U606" s="99"/>
    </row>
    <row r="607" spans="7:21" ht="15.75" customHeight="1" x14ac:dyDescent="0.3">
      <c r="G607" s="99"/>
      <c r="I607" s="99"/>
      <c r="U607" s="99"/>
    </row>
    <row r="608" spans="7:21" ht="15.75" customHeight="1" x14ac:dyDescent="0.3">
      <c r="G608" s="99"/>
      <c r="I608" s="99"/>
      <c r="U608" s="99"/>
    </row>
    <row r="609" spans="7:21" ht="15.75" customHeight="1" x14ac:dyDescent="0.3">
      <c r="G609" s="99"/>
      <c r="I609" s="99"/>
      <c r="U609" s="99"/>
    </row>
    <row r="610" spans="7:21" ht="15.75" customHeight="1" x14ac:dyDescent="0.3">
      <c r="G610" s="99"/>
      <c r="I610" s="99"/>
      <c r="U610" s="99"/>
    </row>
    <row r="611" spans="7:21" ht="15.75" customHeight="1" x14ac:dyDescent="0.3">
      <c r="G611" s="99"/>
      <c r="I611" s="99"/>
      <c r="U611" s="99"/>
    </row>
    <row r="612" spans="7:21" ht="15.75" customHeight="1" x14ac:dyDescent="0.3">
      <c r="G612" s="99"/>
      <c r="I612" s="99"/>
      <c r="U612" s="99"/>
    </row>
    <row r="613" spans="7:21" ht="15.75" customHeight="1" x14ac:dyDescent="0.3">
      <c r="G613" s="99"/>
      <c r="I613" s="99"/>
      <c r="U613" s="99"/>
    </row>
    <row r="614" spans="7:21" ht="15.75" customHeight="1" x14ac:dyDescent="0.3">
      <c r="G614" s="99"/>
      <c r="I614" s="99"/>
      <c r="U614" s="99"/>
    </row>
    <row r="615" spans="7:21" ht="15.75" customHeight="1" x14ac:dyDescent="0.3">
      <c r="G615" s="99"/>
      <c r="I615" s="99"/>
      <c r="U615" s="99"/>
    </row>
    <row r="616" spans="7:21" ht="15.75" customHeight="1" x14ac:dyDescent="0.3">
      <c r="G616" s="99"/>
      <c r="I616" s="99"/>
      <c r="U616" s="99"/>
    </row>
    <row r="617" spans="7:21" ht="15.75" customHeight="1" x14ac:dyDescent="0.3">
      <c r="G617" s="99"/>
      <c r="I617" s="99"/>
      <c r="U617" s="99"/>
    </row>
    <row r="618" spans="7:21" ht="15.75" customHeight="1" x14ac:dyDescent="0.3">
      <c r="G618" s="99"/>
      <c r="I618" s="99"/>
      <c r="U618" s="99"/>
    </row>
    <row r="619" spans="7:21" ht="15.75" customHeight="1" x14ac:dyDescent="0.3">
      <c r="G619" s="99"/>
      <c r="I619" s="99"/>
      <c r="U619" s="99"/>
    </row>
    <row r="620" spans="7:21" ht="15.75" customHeight="1" x14ac:dyDescent="0.3">
      <c r="G620" s="99"/>
      <c r="I620" s="99"/>
      <c r="U620" s="99"/>
    </row>
    <row r="621" spans="7:21" ht="15.75" customHeight="1" x14ac:dyDescent="0.3">
      <c r="G621" s="99"/>
      <c r="I621" s="99"/>
      <c r="U621" s="99"/>
    </row>
    <row r="622" spans="7:21" ht="15.75" customHeight="1" x14ac:dyDescent="0.3">
      <c r="G622" s="99"/>
      <c r="I622" s="99"/>
      <c r="U622" s="99"/>
    </row>
    <row r="623" spans="7:21" ht="15.75" customHeight="1" x14ac:dyDescent="0.3">
      <c r="G623" s="99"/>
      <c r="I623" s="99"/>
      <c r="U623" s="99"/>
    </row>
    <row r="624" spans="7:21" ht="15.75" customHeight="1" x14ac:dyDescent="0.3">
      <c r="G624" s="99"/>
      <c r="I624" s="99"/>
      <c r="U624" s="99"/>
    </row>
    <row r="625" spans="7:21" ht="15.75" customHeight="1" x14ac:dyDescent="0.3">
      <c r="G625" s="99"/>
      <c r="I625" s="99"/>
      <c r="U625" s="99"/>
    </row>
    <row r="626" spans="7:21" ht="15.75" customHeight="1" x14ac:dyDescent="0.3">
      <c r="G626" s="99"/>
      <c r="I626" s="99"/>
      <c r="U626" s="99"/>
    </row>
    <row r="627" spans="7:21" ht="15.75" customHeight="1" x14ac:dyDescent="0.3">
      <c r="G627" s="99"/>
      <c r="I627" s="99"/>
      <c r="U627" s="99"/>
    </row>
    <row r="628" spans="7:21" ht="15.75" customHeight="1" x14ac:dyDescent="0.3">
      <c r="G628" s="99"/>
      <c r="I628" s="99"/>
      <c r="U628" s="99"/>
    </row>
    <row r="629" spans="7:21" ht="15.75" customHeight="1" x14ac:dyDescent="0.3">
      <c r="G629" s="99"/>
      <c r="I629" s="99"/>
      <c r="U629" s="99"/>
    </row>
    <row r="630" spans="7:21" ht="15.75" customHeight="1" x14ac:dyDescent="0.3">
      <c r="G630" s="99"/>
      <c r="I630" s="99"/>
      <c r="U630" s="99"/>
    </row>
    <row r="631" spans="7:21" ht="15.75" customHeight="1" x14ac:dyDescent="0.3">
      <c r="G631" s="99"/>
      <c r="I631" s="99"/>
      <c r="U631" s="99"/>
    </row>
    <row r="632" spans="7:21" ht="15.75" customHeight="1" x14ac:dyDescent="0.3">
      <c r="G632" s="99"/>
      <c r="I632" s="99"/>
      <c r="U632" s="99"/>
    </row>
    <row r="633" spans="7:21" ht="15.75" customHeight="1" x14ac:dyDescent="0.3">
      <c r="G633" s="99"/>
      <c r="I633" s="99"/>
      <c r="U633" s="99"/>
    </row>
    <row r="634" spans="7:21" ht="15.75" customHeight="1" x14ac:dyDescent="0.3">
      <c r="G634" s="99"/>
      <c r="I634" s="99"/>
      <c r="U634" s="99"/>
    </row>
    <row r="635" spans="7:21" ht="15.75" customHeight="1" x14ac:dyDescent="0.3">
      <c r="G635" s="99"/>
      <c r="I635" s="99"/>
      <c r="U635" s="99"/>
    </row>
    <row r="636" spans="7:21" ht="15.75" customHeight="1" x14ac:dyDescent="0.3">
      <c r="G636" s="99"/>
      <c r="I636" s="99"/>
      <c r="U636" s="99"/>
    </row>
    <row r="637" spans="7:21" ht="15.75" customHeight="1" x14ac:dyDescent="0.3">
      <c r="G637" s="99"/>
      <c r="I637" s="99"/>
      <c r="U637" s="99"/>
    </row>
    <row r="638" spans="7:21" ht="15.75" customHeight="1" x14ac:dyDescent="0.3">
      <c r="G638" s="99"/>
      <c r="I638" s="99"/>
      <c r="U638" s="99"/>
    </row>
    <row r="639" spans="7:21" ht="15.75" customHeight="1" x14ac:dyDescent="0.3">
      <c r="G639" s="99"/>
      <c r="I639" s="99"/>
      <c r="U639" s="99"/>
    </row>
    <row r="640" spans="7:21" ht="15.75" customHeight="1" x14ac:dyDescent="0.3">
      <c r="G640" s="99"/>
      <c r="I640" s="99"/>
      <c r="U640" s="99"/>
    </row>
    <row r="641" spans="7:21" ht="15.75" customHeight="1" x14ac:dyDescent="0.3">
      <c r="G641" s="99"/>
      <c r="I641" s="99"/>
      <c r="U641" s="99"/>
    </row>
    <row r="642" spans="7:21" ht="15.75" customHeight="1" x14ac:dyDescent="0.3">
      <c r="G642" s="99"/>
      <c r="I642" s="99"/>
      <c r="U642" s="99"/>
    </row>
    <row r="643" spans="7:21" ht="15.75" customHeight="1" x14ac:dyDescent="0.3">
      <c r="G643" s="99"/>
      <c r="I643" s="99"/>
      <c r="U643" s="99"/>
    </row>
    <row r="644" spans="7:21" ht="15.75" customHeight="1" x14ac:dyDescent="0.3">
      <c r="G644" s="99"/>
      <c r="I644" s="99"/>
      <c r="U644" s="99"/>
    </row>
    <row r="645" spans="7:21" ht="15.75" customHeight="1" x14ac:dyDescent="0.3">
      <c r="G645" s="99"/>
      <c r="I645" s="99"/>
      <c r="U645" s="99"/>
    </row>
    <row r="646" spans="7:21" ht="15.75" customHeight="1" x14ac:dyDescent="0.3">
      <c r="G646" s="99"/>
      <c r="I646" s="99"/>
      <c r="U646" s="99"/>
    </row>
    <row r="647" spans="7:21" ht="15.75" customHeight="1" x14ac:dyDescent="0.3">
      <c r="G647" s="99"/>
      <c r="I647" s="99"/>
      <c r="U647" s="99"/>
    </row>
    <row r="648" spans="7:21" ht="15.75" customHeight="1" x14ac:dyDescent="0.3">
      <c r="G648" s="99"/>
      <c r="I648" s="99"/>
      <c r="U648" s="99"/>
    </row>
    <row r="649" spans="7:21" ht="15.75" customHeight="1" x14ac:dyDescent="0.3">
      <c r="G649" s="99"/>
      <c r="I649" s="99"/>
      <c r="U649" s="99"/>
    </row>
    <row r="650" spans="7:21" ht="15.75" customHeight="1" x14ac:dyDescent="0.3">
      <c r="G650" s="99"/>
      <c r="I650" s="99"/>
      <c r="U650" s="99"/>
    </row>
    <row r="651" spans="7:21" ht="15.75" customHeight="1" x14ac:dyDescent="0.3">
      <c r="G651" s="99"/>
      <c r="I651" s="99"/>
      <c r="U651" s="99"/>
    </row>
    <row r="652" spans="7:21" ht="15.75" customHeight="1" x14ac:dyDescent="0.3">
      <c r="G652" s="99"/>
      <c r="I652" s="99"/>
      <c r="U652" s="99"/>
    </row>
    <row r="653" spans="7:21" ht="15.75" customHeight="1" x14ac:dyDescent="0.3">
      <c r="G653" s="99"/>
      <c r="I653" s="99"/>
      <c r="U653" s="99"/>
    </row>
    <row r="654" spans="7:21" ht="15.75" customHeight="1" x14ac:dyDescent="0.3">
      <c r="G654" s="99"/>
      <c r="I654" s="99"/>
      <c r="U654" s="99"/>
    </row>
    <row r="655" spans="7:21" ht="15.75" customHeight="1" x14ac:dyDescent="0.3">
      <c r="G655" s="99"/>
      <c r="I655" s="99"/>
      <c r="U655" s="99"/>
    </row>
    <row r="656" spans="7:21" ht="15.75" customHeight="1" x14ac:dyDescent="0.3">
      <c r="G656" s="99"/>
      <c r="I656" s="99"/>
      <c r="U656" s="99"/>
    </row>
    <row r="657" spans="7:21" ht="15.75" customHeight="1" x14ac:dyDescent="0.3">
      <c r="G657" s="99"/>
      <c r="I657" s="99"/>
      <c r="U657" s="99"/>
    </row>
    <row r="658" spans="7:21" ht="15.75" customHeight="1" x14ac:dyDescent="0.3">
      <c r="G658" s="99"/>
      <c r="I658" s="99"/>
      <c r="U658" s="99"/>
    </row>
    <row r="659" spans="7:21" ht="15.75" customHeight="1" x14ac:dyDescent="0.3">
      <c r="G659" s="99"/>
      <c r="I659" s="99"/>
      <c r="U659" s="99"/>
    </row>
    <row r="660" spans="7:21" ht="15.75" customHeight="1" x14ac:dyDescent="0.3">
      <c r="G660" s="99"/>
      <c r="I660" s="99"/>
      <c r="U660" s="99"/>
    </row>
    <row r="661" spans="7:21" ht="15.75" customHeight="1" x14ac:dyDescent="0.3">
      <c r="G661" s="99"/>
      <c r="I661" s="99"/>
      <c r="U661" s="99"/>
    </row>
    <row r="662" spans="7:21" ht="15.75" customHeight="1" x14ac:dyDescent="0.3">
      <c r="G662" s="99"/>
      <c r="I662" s="99"/>
      <c r="U662" s="99"/>
    </row>
    <row r="663" spans="7:21" ht="15.75" customHeight="1" x14ac:dyDescent="0.3">
      <c r="G663" s="99"/>
      <c r="I663" s="99"/>
      <c r="U663" s="99"/>
    </row>
    <row r="664" spans="7:21" ht="15.75" customHeight="1" x14ac:dyDescent="0.3">
      <c r="G664" s="99"/>
      <c r="I664" s="99"/>
      <c r="U664" s="99"/>
    </row>
    <row r="665" spans="7:21" ht="15.75" customHeight="1" x14ac:dyDescent="0.3">
      <c r="G665" s="99"/>
      <c r="I665" s="99"/>
      <c r="U665" s="99"/>
    </row>
    <row r="666" spans="7:21" ht="15.75" customHeight="1" x14ac:dyDescent="0.3">
      <c r="G666" s="99"/>
      <c r="I666" s="99"/>
      <c r="U666" s="99"/>
    </row>
    <row r="667" spans="7:21" ht="15.75" customHeight="1" x14ac:dyDescent="0.3">
      <c r="G667" s="99"/>
      <c r="I667" s="99"/>
      <c r="U667" s="99"/>
    </row>
    <row r="668" spans="7:21" ht="15.75" customHeight="1" x14ac:dyDescent="0.3">
      <c r="G668" s="99"/>
      <c r="I668" s="99"/>
      <c r="U668" s="99"/>
    </row>
    <row r="669" spans="7:21" ht="15.75" customHeight="1" x14ac:dyDescent="0.3">
      <c r="G669" s="99"/>
      <c r="I669" s="99"/>
      <c r="U669" s="99"/>
    </row>
    <row r="670" spans="7:21" ht="15.75" customHeight="1" x14ac:dyDescent="0.3">
      <c r="G670" s="99"/>
      <c r="I670" s="99"/>
      <c r="U670" s="99"/>
    </row>
    <row r="671" spans="7:21" ht="15.75" customHeight="1" x14ac:dyDescent="0.3">
      <c r="G671" s="99"/>
      <c r="I671" s="99"/>
      <c r="U671" s="99"/>
    </row>
    <row r="672" spans="7:21" ht="15.75" customHeight="1" x14ac:dyDescent="0.3">
      <c r="G672" s="99"/>
      <c r="I672" s="99"/>
      <c r="U672" s="99"/>
    </row>
    <row r="673" spans="7:21" ht="15.75" customHeight="1" x14ac:dyDescent="0.3">
      <c r="G673" s="99"/>
      <c r="I673" s="99"/>
      <c r="U673" s="99"/>
    </row>
    <row r="674" spans="7:21" ht="15.75" customHeight="1" x14ac:dyDescent="0.3">
      <c r="G674" s="99"/>
      <c r="I674" s="99"/>
      <c r="U674" s="99"/>
    </row>
    <row r="675" spans="7:21" ht="15.75" customHeight="1" x14ac:dyDescent="0.3">
      <c r="G675" s="99"/>
      <c r="I675" s="99"/>
      <c r="U675" s="99"/>
    </row>
    <row r="676" spans="7:21" ht="15.75" customHeight="1" x14ac:dyDescent="0.3">
      <c r="G676" s="99"/>
      <c r="I676" s="99"/>
      <c r="U676" s="99"/>
    </row>
    <row r="677" spans="7:21" ht="15.75" customHeight="1" x14ac:dyDescent="0.3">
      <c r="G677" s="99"/>
      <c r="I677" s="99"/>
      <c r="U677" s="99"/>
    </row>
    <row r="678" spans="7:21" ht="15.75" customHeight="1" x14ac:dyDescent="0.3">
      <c r="G678" s="99"/>
      <c r="I678" s="99"/>
      <c r="U678" s="99"/>
    </row>
    <row r="679" spans="7:21" ht="15.75" customHeight="1" x14ac:dyDescent="0.3">
      <c r="G679" s="99"/>
      <c r="I679" s="99"/>
      <c r="U679" s="99"/>
    </row>
    <row r="680" spans="7:21" ht="15.75" customHeight="1" x14ac:dyDescent="0.3">
      <c r="G680" s="99"/>
      <c r="I680" s="99"/>
      <c r="U680" s="99"/>
    </row>
    <row r="681" spans="7:21" ht="15.75" customHeight="1" x14ac:dyDescent="0.3">
      <c r="G681" s="99"/>
      <c r="I681" s="99"/>
      <c r="U681" s="99"/>
    </row>
    <row r="682" spans="7:21" ht="15.75" customHeight="1" x14ac:dyDescent="0.3">
      <c r="G682" s="99"/>
      <c r="I682" s="99"/>
      <c r="U682" s="99"/>
    </row>
    <row r="683" spans="7:21" ht="15.75" customHeight="1" x14ac:dyDescent="0.3">
      <c r="G683" s="99"/>
      <c r="I683" s="99"/>
      <c r="U683" s="99"/>
    </row>
    <row r="684" spans="7:21" ht="15.75" customHeight="1" x14ac:dyDescent="0.3">
      <c r="G684" s="99"/>
      <c r="I684" s="99"/>
      <c r="U684" s="99"/>
    </row>
    <row r="685" spans="7:21" ht="15.75" customHeight="1" x14ac:dyDescent="0.3">
      <c r="G685" s="99"/>
      <c r="I685" s="99"/>
      <c r="U685" s="99"/>
    </row>
    <row r="686" spans="7:21" ht="15.75" customHeight="1" x14ac:dyDescent="0.3">
      <c r="G686" s="99"/>
      <c r="I686" s="99"/>
      <c r="U686" s="99"/>
    </row>
    <row r="687" spans="7:21" ht="15.75" customHeight="1" x14ac:dyDescent="0.3">
      <c r="G687" s="99"/>
      <c r="I687" s="99"/>
      <c r="U687" s="99"/>
    </row>
    <row r="688" spans="7:21" ht="15.75" customHeight="1" x14ac:dyDescent="0.3">
      <c r="G688" s="99"/>
      <c r="I688" s="99"/>
      <c r="U688" s="99"/>
    </row>
    <row r="689" spans="7:21" ht="15.75" customHeight="1" x14ac:dyDescent="0.3">
      <c r="G689" s="99"/>
      <c r="I689" s="99"/>
      <c r="U689" s="99"/>
    </row>
    <row r="690" spans="7:21" ht="15.75" customHeight="1" x14ac:dyDescent="0.3">
      <c r="G690" s="99"/>
      <c r="I690" s="99"/>
      <c r="U690" s="99"/>
    </row>
    <row r="691" spans="7:21" ht="15.75" customHeight="1" x14ac:dyDescent="0.3">
      <c r="G691" s="99"/>
      <c r="I691" s="99"/>
      <c r="U691" s="99"/>
    </row>
    <row r="692" spans="7:21" ht="15.75" customHeight="1" x14ac:dyDescent="0.3">
      <c r="G692" s="99"/>
      <c r="I692" s="99"/>
      <c r="U692" s="99"/>
    </row>
    <row r="693" spans="7:21" ht="15.75" customHeight="1" x14ac:dyDescent="0.3">
      <c r="G693" s="99"/>
      <c r="I693" s="99"/>
      <c r="U693" s="99"/>
    </row>
    <row r="694" spans="7:21" ht="15.75" customHeight="1" x14ac:dyDescent="0.3">
      <c r="G694" s="99"/>
      <c r="I694" s="99"/>
      <c r="U694" s="99"/>
    </row>
    <row r="695" spans="7:21" ht="15.75" customHeight="1" x14ac:dyDescent="0.3">
      <c r="G695" s="99"/>
      <c r="I695" s="99"/>
      <c r="U695" s="99"/>
    </row>
    <row r="696" spans="7:21" ht="15.75" customHeight="1" x14ac:dyDescent="0.3">
      <c r="G696" s="99"/>
      <c r="I696" s="99"/>
      <c r="U696" s="99"/>
    </row>
    <row r="697" spans="7:21" ht="15.75" customHeight="1" x14ac:dyDescent="0.3">
      <c r="G697" s="99"/>
      <c r="I697" s="99"/>
      <c r="U697" s="99"/>
    </row>
    <row r="698" spans="7:21" ht="15.75" customHeight="1" x14ac:dyDescent="0.3">
      <c r="G698" s="99"/>
      <c r="I698" s="99"/>
      <c r="U698" s="99"/>
    </row>
    <row r="699" spans="7:21" ht="15.75" customHeight="1" x14ac:dyDescent="0.3">
      <c r="G699" s="99"/>
      <c r="I699" s="99"/>
      <c r="U699" s="99"/>
    </row>
    <row r="700" spans="7:21" ht="15.75" customHeight="1" x14ac:dyDescent="0.3">
      <c r="G700" s="99"/>
      <c r="I700" s="99"/>
      <c r="U700" s="99"/>
    </row>
    <row r="701" spans="7:21" ht="15.75" customHeight="1" x14ac:dyDescent="0.3">
      <c r="G701" s="99"/>
      <c r="I701" s="99"/>
      <c r="U701" s="99"/>
    </row>
    <row r="702" spans="7:21" ht="15.75" customHeight="1" x14ac:dyDescent="0.3">
      <c r="G702" s="99"/>
      <c r="I702" s="99"/>
      <c r="U702" s="99"/>
    </row>
    <row r="703" spans="7:21" ht="15.75" customHeight="1" x14ac:dyDescent="0.3">
      <c r="G703" s="99"/>
      <c r="I703" s="99"/>
      <c r="U703" s="99"/>
    </row>
    <row r="704" spans="7:21" ht="15.75" customHeight="1" x14ac:dyDescent="0.3">
      <c r="G704" s="99"/>
      <c r="I704" s="99"/>
      <c r="U704" s="99"/>
    </row>
    <row r="705" spans="7:21" ht="15.75" customHeight="1" x14ac:dyDescent="0.3">
      <c r="G705" s="99"/>
      <c r="I705" s="99"/>
      <c r="U705" s="99"/>
    </row>
    <row r="706" spans="7:21" ht="15.75" customHeight="1" x14ac:dyDescent="0.3">
      <c r="G706" s="99"/>
      <c r="I706" s="99"/>
      <c r="U706" s="99"/>
    </row>
    <row r="707" spans="7:21" ht="15.75" customHeight="1" x14ac:dyDescent="0.3">
      <c r="G707" s="99"/>
      <c r="I707" s="99"/>
      <c r="U707" s="99"/>
    </row>
    <row r="708" spans="7:21" ht="15.75" customHeight="1" x14ac:dyDescent="0.3">
      <c r="G708" s="99"/>
      <c r="I708" s="99"/>
      <c r="U708" s="99"/>
    </row>
    <row r="709" spans="7:21" ht="15.75" customHeight="1" x14ac:dyDescent="0.3">
      <c r="G709" s="99"/>
      <c r="I709" s="99"/>
      <c r="U709" s="99"/>
    </row>
    <row r="710" spans="7:21" ht="15.75" customHeight="1" x14ac:dyDescent="0.3">
      <c r="G710" s="99"/>
      <c r="I710" s="99"/>
      <c r="U710" s="99"/>
    </row>
    <row r="711" spans="7:21" ht="15.75" customHeight="1" x14ac:dyDescent="0.3">
      <c r="G711" s="99"/>
      <c r="I711" s="99"/>
      <c r="U711" s="99"/>
    </row>
    <row r="712" spans="7:21" ht="15.75" customHeight="1" x14ac:dyDescent="0.3">
      <c r="G712" s="99"/>
      <c r="I712" s="99"/>
      <c r="U712" s="99"/>
    </row>
    <row r="713" spans="7:21" ht="15.75" customHeight="1" x14ac:dyDescent="0.3">
      <c r="G713" s="99"/>
      <c r="I713" s="99"/>
      <c r="U713" s="99"/>
    </row>
    <row r="714" spans="7:21" ht="15.75" customHeight="1" x14ac:dyDescent="0.3">
      <c r="G714" s="99"/>
      <c r="I714" s="99"/>
      <c r="U714" s="99"/>
    </row>
    <row r="715" spans="7:21" ht="15.75" customHeight="1" x14ac:dyDescent="0.3">
      <c r="G715" s="99"/>
      <c r="I715" s="99"/>
      <c r="U715" s="99"/>
    </row>
    <row r="716" spans="7:21" ht="15.75" customHeight="1" x14ac:dyDescent="0.3">
      <c r="G716" s="99"/>
      <c r="I716" s="99"/>
      <c r="U716" s="99"/>
    </row>
    <row r="717" spans="7:21" ht="15.75" customHeight="1" x14ac:dyDescent="0.3">
      <c r="G717" s="99"/>
      <c r="I717" s="99"/>
      <c r="U717" s="99"/>
    </row>
    <row r="718" spans="7:21" ht="15.75" customHeight="1" x14ac:dyDescent="0.3">
      <c r="G718" s="99"/>
      <c r="I718" s="99"/>
      <c r="U718" s="99"/>
    </row>
    <row r="719" spans="7:21" ht="15.75" customHeight="1" x14ac:dyDescent="0.3">
      <c r="G719" s="99"/>
      <c r="I719" s="99"/>
      <c r="U719" s="99"/>
    </row>
    <row r="720" spans="7:21" ht="15.75" customHeight="1" x14ac:dyDescent="0.3">
      <c r="G720" s="99"/>
      <c r="I720" s="99"/>
      <c r="U720" s="99"/>
    </row>
    <row r="721" spans="7:21" ht="15.75" customHeight="1" x14ac:dyDescent="0.3">
      <c r="G721" s="99"/>
      <c r="I721" s="99"/>
      <c r="U721" s="99"/>
    </row>
    <row r="722" spans="7:21" ht="15.75" customHeight="1" x14ac:dyDescent="0.3">
      <c r="G722" s="99"/>
      <c r="I722" s="99"/>
      <c r="U722" s="99"/>
    </row>
    <row r="723" spans="7:21" ht="15.75" customHeight="1" x14ac:dyDescent="0.3">
      <c r="G723" s="99"/>
      <c r="I723" s="99"/>
      <c r="U723" s="99"/>
    </row>
    <row r="724" spans="7:21" ht="15.75" customHeight="1" x14ac:dyDescent="0.3">
      <c r="G724" s="99"/>
      <c r="I724" s="99"/>
      <c r="U724" s="99"/>
    </row>
    <row r="725" spans="7:21" ht="15.75" customHeight="1" x14ac:dyDescent="0.3">
      <c r="G725" s="99"/>
      <c r="I725" s="99"/>
      <c r="U725" s="99"/>
    </row>
    <row r="726" spans="7:21" ht="15.75" customHeight="1" x14ac:dyDescent="0.3">
      <c r="G726" s="99"/>
      <c r="I726" s="99"/>
      <c r="U726" s="99"/>
    </row>
    <row r="727" spans="7:21" ht="15.75" customHeight="1" x14ac:dyDescent="0.3">
      <c r="G727" s="99"/>
      <c r="I727" s="99"/>
      <c r="U727" s="99"/>
    </row>
    <row r="728" spans="7:21" ht="15.75" customHeight="1" x14ac:dyDescent="0.3">
      <c r="G728" s="99"/>
      <c r="I728" s="99"/>
      <c r="U728" s="99"/>
    </row>
    <row r="729" spans="7:21" ht="15.75" customHeight="1" x14ac:dyDescent="0.3">
      <c r="G729" s="99"/>
      <c r="I729" s="99"/>
      <c r="U729" s="99"/>
    </row>
    <row r="730" spans="7:21" ht="15.75" customHeight="1" x14ac:dyDescent="0.3">
      <c r="G730" s="99"/>
      <c r="I730" s="99"/>
      <c r="U730" s="99"/>
    </row>
    <row r="731" spans="7:21" ht="15.75" customHeight="1" x14ac:dyDescent="0.3">
      <c r="G731" s="99"/>
      <c r="I731" s="99"/>
      <c r="U731" s="99"/>
    </row>
    <row r="732" spans="7:21" ht="15.75" customHeight="1" x14ac:dyDescent="0.3">
      <c r="G732" s="99"/>
      <c r="I732" s="99"/>
      <c r="U732" s="99"/>
    </row>
    <row r="733" spans="7:21" ht="15.75" customHeight="1" x14ac:dyDescent="0.3">
      <c r="G733" s="99"/>
      <c r="I733" s="99"/>
      <c r="U733" s="99"/>
    </row>
    <row r="734" spans="7:21" ht="15.75" customHeight="1" x14ac:dyDescent="0.3">
      <c r="G734" s="99"/>
      <c r="I734" s="99"/>
      <c r="U734" s="99"/>
    </row>
    <row r="735" spans="7:21" ht="15.75" customHeight="1" x14ac:dyDescent="0.3">
      <c r="G735" s="99"/>
      <c r="I735" s="99"/>
      <c r="U735" s="99"/>
    </row>
    <row r="736" spans="7:21" ht="15.75" customHeight="1" x14ac:dyDescent="0.3">
      <c r="G736" s="99"/>
      <c r="I736" s="99"/>
      <c r="U736" s="99"/>
    </row>
    <row r="737" spans="7:21" ht="15.75" customHeight="1" x14ac:dyDescent="0.3">
      <c r="G737" s="99"/>
      <c r="I737" s="99"/>
      <c r="U737" s="99"/>
    </row>
    <row r="738" spans="7:21" ht="15.75" customHeight="1" x14ac:dyDescent="0.3">
      <c r="G738" s="99"/>
      <c r="I738" s="99"/>
      <c r="U738" s="99"/>
    </row>
    <row r="739" spans="7:21" ht="15.75" customHeight="1" x14ac:dyDescent="0.3">
      <c r="G739" s="99"/>
      <c r="I739" s="99"/>
      <c r="U739" s="99"/>
    </row>
    <row r="740" spans="7:21" ht="15.75" customHeight="1" x14ac:dyDescent="0.3">
      <c r="G740" s="99"/>
      <c r="I740" s="99"/>
      <c r="U740" s="99"/>
    </row>
    <row r="741" spans="7:21" ht="15.75" customHeight="1" x14ac:dyDescent="0.3">
      <c r="G741" s="99"/>
      <c r="I741" s="99"/>
      <c r="U741" s="99"/>
    </row>
    <row r="742" spans="7:21" ht="15.75" customHeight="1" x14ac:dyDescent="0.3">
      <c r="G742" s="99"/>
      <c r="I742" s="99"/>
      <c r="U742" s="99"/>
    </row>
    <row r="743" spans="7:21" ht="15.75" customHeight="1" x14ac:dyDescent="0.3">
      <c r="G743" s="99"/>
      <c r="I743" s="99"/>
      <c r="U743" s="99"/>
    </row>
    <row r="744" spans="7:21" ht="15.75" customHeight="1" x14ac:dyDescent="0.3">
      <c r="G744" s="99"/>
      <c r="I744" s="99"/>
      <c r="U744" s="99"/>
    </row>
    <row r="745" spans="7:21" ht="15.75" customHeight="1" x14ac:dyDescent="0.3">
      <c r="G745" s="99"/>
      <c r="I745" s="99"/>
      <c r="U745" s="99"/>
    </row>
    <row r="746" spans="7:21" ht="15.75" customHeight="1" x14ac:dyDescent="0.3">
      <c r="G746" s="99"/>
      <c r="I746" s="99"/>
      <c r="U746" s="99"/>
    </row>
    <row r="747" spans="7:21" ht="15.75" customHeight="1" x14ac:dyDescent="0.3">
      <c r="G747" s="99"/>
      <c r="I747" s="99"/>
      <c r="U747" s="99"/>
    </row>
    <row r="748" spans="7:21" ht="15.75" customHeight="1" x14ac:dyDescent="0.3">
      <c r="G748" s="99"/>
      <c r="I748" s="99"/>
      <c r="U748" s="99"/>
    </row>
    <row r="749" spans="7:21" ht="15.75" customHeight="1" x14ac:dyDescent="0.3">
      <c r="G749" s="99"/>
      <c r="I749" s="99"/>
      <c r="U749" s="99"/>
    </row>
    <row r="750" spans="7:21" ht="15.75" customHeight="1" x14ac:dyDescent="0.3">
      <c r="G750" s="99"/>
      <c r="I750" s="99"/>
      <c r="U750" s="99"/>
    </row>
    <row r="751" spans="7:21" ht="15.75" customHeight="1" x14ac:dyDescent="0.3">
      <c r="G751" s="99"/>
      <c r="I751" s="99"/>
      <c r="U751" s="99"/>
    </row>
    <row r="752" spans="7:21" ht="15.75" customHeight="1" x14ac:dyDescent="0.3">
      <c r="G752" s="99"/>
      <c r="I752" s="99"/>
      <c r="U752" s="99"/>
    </row>
    <row r="753" spans="7:21" ht="15.75" customHeight="1" x14ac:dyDescent="0.3">
      <c r="G753" s="99"/>
      <c r="I753" s="99"/>
      <c r="U753" s="99"/>
    </row>
    <row r="754" spans="7:21" ht="15.75" customHeight="1" x14ac:dyDescent="0.3">
      <c r="G754" s="99"/>
      <c r="I754" s="99"/>
      <c r="U754" s="99"/>
    </row>
    <row r="755" spans="7:21" ht="15.75" customHeight="1" x14ac:dyDescent="0.3">
      <c r="G755" s="99"/>
      <c r="I755" s="99"/>
      <c r="U755" s="99"/>
    </row>
    <row r="756" spans="7:21" ht="15.75" customHeight="1" x14ac:dyDescent="0.3">
      <c r="G756" s="99"/>
      <c r="I756" s="99"/>
      <c r="U756" s="99"/>
    </row>
    <row r="757" spans="7:21" ht="15.75" customHeight="1" x14ac:dyDescent="0.3">
      <c r="G757" s="99"/>
      <c r="I757" s="99"/>
      <c r="U757" s="99"/>
    </row>
    <row r="758" spans="7:21" ht="15.75" customHeight="1" x14ac:dyDescent="0.3">
      <c r="G758" s="99"/>
      <c r="I758" s="99"/>
      <c r="U758" s="99"/>
    </row>
    <row r="759" spans="7:21" ht="15.75" customHeight="1" x14ac:dyDescent="0.3">
      <c r="G759" s="99"/>
      <c r="I759" s="99"/>
      <c r="U759" s="99"/>
    </row>
    <row r="760" spans="7:21" ht="15.75" customHeight="1" x14ac:dyDescent="0.3">
      <c r="G760" s="99"/>
      <c r="I760" s="99"/>
      <c r="U760" s="99"/>
    </row>
    <row r="761" spans="7:21" ht="15.75" customHeight="1" x14ac:dyDescent="0.3">
      <c r="G761" s="99"/>
      <c r="I761" s="99"/>
      <c r="U761" s="99"/>
    </row>
    <row r="762" spans="7:21" ht="15.75" customHeight="1" x14ac:dyDescent="0.3">
      <c r="G762" s="99"/>
      <c r="I762" s="99"/>
      <c r="U762" s="99"/>
    </row>
    <row r="763" spans="7:21" ht="15.75" customHeight="1" x14ac:dyDescent="0.3">
      <c r="G763" s="99"/>
      <c r="I763" s="99"/>
      <c r="U763" s="99"/>
    </row>
    <row r="764" spans="7:21" ht="15.75" customHeight="1" x14ac:dyDescent="0.3">
      <c r="G764" s="99"/>
      <c r="I764" s="99"/>
      <c r="U764" s="99"/>
    </row>
    <row r="765" spans="7:21" ht="15.75" customHeight="1" x14ac:dyDescent="0.3">
      <c r="G765" s="99"/>
      <c r="I765" s="99"/>
      <c r="U765" s="99"/>
    </row>
    <row r="766" spans="7:21" ht="15.75" customHeight="1" x14ac:dyDescent="0.3">
      <c r="G766" s="99"/>
      <c r="I766" s="99"/>
      <c r="U766" s="99"/>
    </row>
    <row r="767" spans="7:21" ht="15.75" customHeight="1" x14ac:dyDescent="0.3">
      <c r="G767" s="99"/>
      <c r="I767" s="99"/>
      <c r="U767" s="99"/>
    </row>
    <row r="768" spans="7:21" ht="15.75" customHeight="1" x14ac:dyDescent="0.3">
      <c r="G768" s="99"/>
      <c r="I768" s="99"/>
      <c r="U768" s="99"/>
    </row>
    <row r="769" spans="7:21" ht="15.75" customHeight="1" x14ac:dyDescent="0.3">
      <c r="G769" s="99"/>
      <c r="I769" s="99"/>
      <c r="U769" s="99"/>
    </row>
    <row r="770" spans="7:21" ht="15.75" customHeight="1" x14ac:dyDescent="0.3">
      <c r="G770" s="99"/>
      <c r="I770" s="99"/>
      <c r="U770" s="99"/>
    </row>
    <row r="771" spans="7:21" ht="15.75" customHeight="1" x14ac:dyDescent="0.3">
      <c r="G771" s="99"/>
      <c r="I771" s="99"/>
      <c r="U771" s="99"/>
    </row>
    <row r="772" spans="7:21" ht="15.75" customHeight="1" x14ac:dyDescent="0.3">
      <c r="G772" s="99"/>
      <c r="I772" s="99"/>
      <c r="U772" s="99"/>
    </row>
    <row r="773" spans="7:21" ht="15.75" customHeight="1" x14ac:dyDescent="0.3">
      <c r="G773" s="99"/>
      <c r="I773" s="99"/>
      <c r="U773" s="99"/>
    </row>
    <row r="774" spans="7:21" ht="15.75" customHeight="1" x14ac:dyDescent="0.3">
      <c r="G774" s="99"/>
      <c r="I774" s="99"/>
      <c r="U774" s="99"/>
    </row>
    <row r="775" spans="7:21" ht="15.75" customHeight="1" x14ac:dyDescent="0.3">
      <c r="G775" s="99"/>
      <c r="I775" s="99"/>
      <c r="U775" s="99"/>
    </row>
    <row r="776" spans="7:21" ht="15.75" customHeight="1" x14ac:dyDescent="0.3">
      <c r="G776" s="99"/>
      <c r="I776" s="99"/>
      <c r="U776" s="99"/>
    </row>
    <row r="777" spans="7:21" ht="15.75" customHeight="1" x14ac:dyDescent="0.3">
      <c r="G777" s="99"/>
      <c r="I777" s="99"/>
      <c r="U777" s="99"/>
    </row>
    <row r="778" spans="7:21" ht="15.75" customHeight="1" x14ac:dyDescent="0.3">
      <c r="G778" s="99"/>
      <c r="I778" s="99"/>
      <c r="U778" s="99"/>
    </row>
    <row r="779" spans="7:21" ht="15.75" customHeight="1" x14ac:dyDescent="0.3">
      <c r="G779" s="99"/>
      <c r="I779" s="99"/>
      <c r="U779" s="99"/>
    </row>
    <row r="780" spans="7:21" ht="15.75" customHeight="1" x14ac:dyDescent="0.3">
      <c r="G780" s="99"/>
      <c r="I780" s="99"/>
      <c r="U780" s="99"/>
    </row>
    <row r="781" spans="7:21" ht="15.75" customHeight="1" x14ac:dyDescent="0.3">
      <c r="G781" s="99"/>
      <c r="I781" s="99"/>
      <c r="U781" s="99"/>
    </row>
    <row r="782" spans="7:21" ht="15.75" customHeight="1" x14ac:dyDescent="0.3">
      <c r="G782" s="99"/>
      <c r="I782" s="99"/>
      <c r="U782" s="99"/>
    </row>
    <row r="783" spans="7:21" ht="15.75" customHeight="1" x14ac:dyDescent="0.3">
      <c r="G783" s="99"/>
      <c r="I783" s="99"/>
      <c r="U783" s="99"/>
    </row>
    <row r="784" spans="7:21" ht="15.75" customHeight="1" x14ac:dyDescent="0.3">
      <c r="G784" s="99"/>
      <c r="I784" s="99"/>
      <c r="U784" s="99"/>
    </row>
    <row r="785" spans="7:21" ht="15.75" customHeight="1" x14ac:dyDescent="0.3">
      <c r="G785" s="99"/>
      <c r="I785" s="99"/>
      <c r="U785" s="99"/>
    </row>
    <row r="786" spans="7:21" ht="15.75" customHeight="1" x14ac:dyDescent="0.3">
      <c r="G786" s="99"/>
      <c r="I786" s="99"/>
      <c r="U786" s="99"/>
    </row>
    <row r="787" spans="7:21" ht="15.75" customHeight="1" x14ac:dyDescent="0.3">
      <c r="G787" s="99"/>
      <c r="I787" s="99"/>
      <c r="U787" s="99"/>
    </row>
    <row r="788" spans="7:21" ht="15.75" customHeight="1" x14ac:dyDescent="0.3">
      <c r="G788" s="99"/>
      <c r="I788" s="99"/>
      <c r="U788" s="99"/>
    </row>
    <row r="789" spans="7:21" ht="15.75" customHeight="1" x14ac:dyDescent="0.3">
      <c r="G789" s="99"/>
      <c r="I789" s="99"/>
      <c r="U789" s="99"/>
    </row>
    <row r="790" spans="7:21" ht="15.75" customHeight="1" x14ac:dyDescent="0.3">
      <c r="G790" s="99"/>
      <c r="I790" s="99"/>
      <c r="U790" s="99"/>
    </row>
    <row r="791" spans="7:21" ht="15.75" customHeight="1" x14ac:dyDescent="0.3">
      <c r="G791" s="99"/>
      <c r="I791" s="99"/>
      <c r="U791" s="99"/>
    </row>
    <row r="792" spans="7:21" ht="15.75" customHeight="1" x14ac:dyDescent="0.3">
      <c r="G792" s="99"/>
      <c r="I792" s="99"/>
      <c r="U792" s="99"/>
    </row>
    <row r="793" spans="7:21" ht="15.75" customHeight="1" x14ac:dyDescent="0.3">
      <c r="G793" s="99"/>
      <c r="I793" s="99"/>
      <c r="U793" s="99"/>
    </row>
    <row r="794" spans="7:21" ht="15.75" customHeight="1" x14ac:dyDescent="0.3">
      <c r="G794" s="99"/>
      <c r="I794" s="99"/>
      <c r="U794" s="99"/>
    </row>
    <row r="795" spans="7:21" ht="15.75" customHeight="1" x14ac:dyDescent="0.3">
      <c r="G795" s="99"/>
      <c r="I795" s="99"/>
      <c r="U795" s="99"/>
    </row>
    <row r="796" spans="7:21" ht="15.75" customHeight="1" x14ac:dyDescent="0.3">
      <c r="G796" s="99"/>
      <c r="I796" s="99"/>
      <c r="U796" s="99"/>
    </row>
    <row r="797" spans="7:21" ht="15.75" customHeight="1" x14ac:dyDescent="0.3">
      <c r="G797" s="99"/>
      <c r="I797" s="99"/>
      <c r="U797" s="99"/>
    </row>
    <row r="798" spans="7:21" ht="15.75" customHeight="1" x14ac:dyDescent="0.3">
      <c r="G798" s="99"/>
      <c r="I798" s="99"/>
      <c r="U798" s="99"/>
    </row>
    <row r="799" spans="7:21" ht="15.75" customHeight="1" x14ac:dyDescent="0.3">
      <c r="G799" s="99"/>
      <c r="I799" s="99"/>
      <c r="U799" s="99"/>
    </row>
    <row r="800" spans="7:21" ht="15.75" customHeight="1" x14ac:dyDescent="0.3">
      <c r="G800" s="99"/>
      <c r="I800" s="99"/>
      <c r="U800" s="99"/>
    </row>
    <row r="801" spans="7:21" ht="15.75" customHeight="1" x14ac:dyDescent="0.3">
      <c r="G801" s="99"/>
      <c r="I801" s="99"/>
      <c r="U801" s="99"/>
    </row>
    <row r="802" spans="7:21" ht="15.75" customHeight="1" x14ac:dyDescent="0.3">
      <c r="G802" s="99"/>
      <c r="I802" s="99"/>
      <c r="U802" s="99"/>
    </row>
    <row r="803" spans="7:21" ht="15.75" customHeight="1" x14ac:dyDescent="0.3">
      <c r="G803" s="99"/>
      <c r="I803" s="99"/>
      <c r="U803" s="99"/>
    </row>
    <row r="804" spans="7:21" ht="15.75" customHeight="1" x14ac:dyDescent="0.3">
      <c r="G804" s="99"/>
      <c r="I804" s="99"/>
      <c r="U804" s="99"/>
    </row>
    <row r="805" spans="7:21" ht="15.75" customHeight="1" x14ac:dyDescent="0.3">
      <c r="G805" s="99"/>
      <c r="I805" s="99"/>
      <c r="U805" s="99"/>
    </row>
    <row r="806" spans="7:21" ht="15.75" customHeight="1" x14ac:dyDescent="0.3">
      <c r="G806" s="99"/>
      <c r="I806" s="99"/>
      <c r="U806" s="99"/>
    </row>
    <row r="807" spans="7:21" ht="15.75" customHeight="1" x14ac:dyDescent="0.3">
      <c r="G807" s="99"/>
      <c r="I807" s="99"/>
      <c r="U807" s="99"/>
    </row>
    <row r="808" spans="7:21" ht="15.75" customHeight="1" x14ac:dyDescent="0.3">
      <c r="G808" s="99"/>
      <c r="I808" s="99"/>
      <c r="U808" s="99"/>
    </row>
    <row r="809" spans="7:21" ht="15.75" customHeight="1" x14ac:dyDescent="0.3">
      <c r="G809" s="99"/>
      <c r="I809" s="99"/>
      <c r="U809" s="99"/>
    </row>
    <row r="810" spans="7:21" ht="15.75" customHeight="1" x14ac:dyDescent="0.3">
      <c r="G810" s="99"/>
      <c r="I810" s="99"/>
      <c r="U810" s="99"/>
    </row>
    <row r="811" spans="7:21" ht="15.75" customHeight="1" x14ac:dyDescent="0.3">
      <c r="G811" s="99"/>
      <c r="I811" s="99"/>
      <c r="U811" s="99"/>
    </row>
    <row r="812" spans="7:21" ht="15.75" customHeight="1" x14ac:dyDescent="0.3">
      <c r="G812" s="99"/>
      <c r="I812" s="99"/>
      <c r="U812" s="99"/>
    </row>
    <row r="813" spans="7:21" ht="15.75" customHeight="1" x14ac:dyDescent="0.3">
      <c r="G813" s="99"/>
      <c r="I813" s="99"/>
      <c r="U813" s="99"/>
    </row>
    <row r="814" spans="7:21" ht="15.75" customHeight="1" x14ac:dyDescent="0.3">
      <c r="G814" s="99"/>
      <c r="I814" s="99"/>
      <c r="U814" s="99"/>
    </row>
    <row r="815" spans="7:21" ht="15.75" customHeight="1" x14ac:dyDescent="0.3">
      <c r="G815" s="99"/>
      <c r="I815" s="99"/>
      <c r="U815" s="99"/>
    </row>
    <row r="816" spans="7:21" ht="15.75" customHeight="1" x14ac:dyDescent="0.3">
      <c r="G816" s="99"/>
      <c r="I816" s="99"/>
      <c r="U816" s="99"/>
    </row>
    <row r="817" spans="7:21" ht="15.75" customHeight="1" x14ac:dyDescent="0.3">
      <c r="G817" s="99"/>
      <c r="I817" s="99"/>
      <c r="U817" s="99"/>
    </row>
    <row r="818" spans="7:21" ht="15.75" customHeight="1" x14ac:dyDescent="0.3">
      <c r="G818" s="99"/>
      <c r="I818" s="99"/>
      <c r="U818" s="99"/>
    </row>
    <row r="819" spans="7:21" ht="15.75" customHeight="1" x14ac:dyDescent="0.3">
      <c r="G819" s="99"/>
      <c r="I819" s="99"/>
      <c r="U819" s="99"/>
    </row>
    <row r="820" spans="7:21" ht="15.75" customHeight="1" x14ac:dyDescent="0.3">
      <c r="G820" s="99"/>
      <c r="I820" s="99"/>
      <c r="U820" s="99"/>
    </row>
    <row r="821" spans="7:21" ht="15.75" customHeight="1" x14ac:dyDescent="0.3">
      <c r="G821" s="99"/>
      <c r="I821" s="99"/>
      <c r="U821" s="99"/>
    </row>
    <row r="822" spans="7:21" ht="15.75" customHeight="1" x14ac:dyDescent="0.3">
      <c r="G822" s="99"/>
      <c r="I822" s="99"/>
      <c r="U822" s="99"/>
    </row>
    <row r="823" spans="7:21" ht="15.75" customHeight="1" x14ac:dyDescent="0.3">
      <c r="G823" s="99"/>
      <c r="I823" s="99"/>
      <c r="U823" s="99"/>
    </row>
    <row r="824" spans="7:21" ht="15.75" customHeight="1" x14ac:dyDescent="0.3">
      <c r="G824" s="99"/>
      <c r="I824" s="99"/>
      <c r="U824" s="99"/>
    </row>
    <row r="825" spans="7:21" ht="15.75" customHeight="1" x14ac:dyDescent="0.3">
      <c r="G825" s="99"/>
      <c r="I825" s="99"/>
      <c r="U825" s="99"/>
    </row>
    <row r="826" spans="7:21" ht="15.75" customHeight="1" x14ac:dyDescent="0.3">
      <c r="G826" s="99"/>
      <c r="I826" s="99"/>
      <c r="U826" s="99"/>
    </row>
    <row r="827" spans="7:21" ht="15.75" customHeight="1" x14ac:dyDescent="0.3">
      <c r="G827" s="99"/>
      <c r="I827" s="99"/>
      <c r="U827" s="99"/>
    </row>
    <row r="828" spans="7:21" ht="15.75" customHeight="1" x14ac:dyDescent="0.3">
      <c r="G828" s="99"/>
      <c r="I828" s="99"/>
      <c r="U828" s="99"/>
    </row>
    <row r="829" spans="7:21" ht="15.75" customHeight="1" x14ac:dyDescent="0.3">
      <c r="G829" s="99"/>
      <c r="I829" s="99"/>
      <c r="U829" s="99"/>
    </row>
    <row r="830" spans="7:21" ht="15.75" customHeight="1" x14ac:dyDescent="0.3">
      <c r="G830" s="99"/>
      <c r="I830" s="99"/>
      <c r="U830" s="99"/>
    </row>
    <row r="831" spans="7:21" ht="15.75" customHeight="1" x14ac:dyDescent="0.3">
      <c r="G831" s="99"/>
      <c r="I831" s="99"/>
      <c r="U831" s="99"/>
    </row>
    <row r="832" spans="7:21" ht="15.75" customHeight="1" x14ac:dyDescent="0.3">
      <c r="G832" s="99"/>
      <c r="I832" s="99"/>
      <c r="U832" s="99"/>
    </row>
    <row r="833" spans="7:21" ht="15.75" customHeight="1" x14ac:dyDescent="0.3">
      <c r="G833" s="99"/>
      <c r="I833" s="99"/>
      <c r="U833" s="99"/>
    </row>
    <row r="834" spans="7:21" ht="15.75" customHeight="1" x14ac:dyDescent="0.3">
      <c r="G834" s="99"/>
      <c r="I834" s="99"/>
      <c r="U834" s="99"/>
    </row>
    <row r="835" spans="7:21" ht="15.75" customHeight="1" x14ac:dyDescent="0.3">
      <c r="G835" s="99"/>
      <c r="I835" s="99"/>
      <c r="U835" s="99"/>
    </row>
    <row r="836" spans="7:21" ht="15.75" customHeight="1" x14ac:dyDescent="0.3">
      <c r="G836" s="99"/>
      <c r="I836" s="99"/>
      <c r="U836" s="99"/>
    </row>
    <row r="837" spans="7:21" ht="15.75" customHeight="1" x14ac:dyDescent="0.3">
      <c r="G837" s="99"/>
      <c r="I837" s="99"/>
      <c r="U837" s="99"/>
    </row>
    <row r="838" spans="7:21" ht="15.75" customHeight="1" x14ac:dyDescent="0.3">
      <c r="G838" s="99"/>
      <c r="I838" s="99"/>
      <c r="U838" s="99"/>
    </row>
    <row r="839" spans="7:21" ht="15.75" customHeight="1" x14ac:dyDescent="0.3">
      <c r="G839" s="99"/>
      <c r="I839" s="99"/>
      <c r="U839" s="99"/>
    </row>
    <row r="840" spans="7:21" ht="15.75" customHeight="1" x14ac:dyDescent="0.3">
      <c r="G840" s="99"/>
      <c r="I840" s="99"/>
      <c r="U840" s="99"/>
    </row>
    <row r="841" spans="7:21" ht="15.75" customHeight="1" x14ac:dyDescent="0.3">
      <c r="G841" s="99"/>
      <c r="I841" s="99"/>
      <c r="U841" s="99"/>
    </row>
    <row r="842" spans="7:21" ht="15.75" customHeight="1" x14ac:dyDescent="0.3">
      <c r="G842" s="99"/>
      <c r="I842" s="99"/>
      <c r="U842" s="99"/>
    </row>
    <row r="843" spans="7:21" ht="15.75" customHeight="1" x14ac:dyDescent="0.3">
      <c r="G843" s="99"/>
      <c r="I843" s="99"/>
      <c r="U843" s="99"/>
    </row>
    <row r="844" spans="7:21" ht="15.75" customHeight="1" x14ac:dyDescent="0.3">
      <c r="G844" s="99"/>
      <c r="I844" s="99"/>
      <c r="U844" s="99"/>
    </row>
    <row r="845" spans="7:21" ht="15.75" customHeight="1" x14ac:dyDescent="0.3">
      <c r="G845" s="99"/>
      <c r="I845" s="99"/>
      <c r="U845" s="99"/>
    </row>
    <row r="846" spans="7:21" ht="15.75" customHeight="1" x14ac:dyDescent="0.3">
      <c r="G846" s="99"/>
      <c r="I846" s="99"/>
      <c r="U846" s="99"/>
    </row>
    <row r="847" spans="7:21" ht="15.75" customHeight="1" x14ac:dyDescent="0.3">
      <c r="G847" s="99"/>
      <c r="I847" s="99"/>
      <c r="U847" s="99"/>
    </row>
    <row r="848" spans="7:21" ht="15.75" customHeight="1" x14ac:dyDescent="0.3">
      <c r="G848" s="99"/>
      <c r="I848" s="99"/>
      <c r="U848" s="99"/>
    </row>
    <row r="849" spans="7:21" ht="15.75" customHeight="1" x14ac:dyDescent="0.3">
      <c r="G849" s="99"/>
      <c r="I849" s="99"/>
      <c r="U849" s="99"/>
    </row>
    <row r="850" spans="7:21" ht="15.75" customHeight="1" x14ac:dyDescent="0.3">
      <c r="G850" s="99"/>
      <c r="I850" s="99"/>
      <c r="U850" s="99"/>
    </row>
    <row r="851" spans="7:21" ht="15.75" customHeight="1" x14ac:dyDescent="0.3">
      <c r="G851" s="99"/>
      <c r="I851" s="99"/>
      <c r="U851" s="99"/>
    </row>
    <row r="852" spans="7:21" ht="15.75" customHeight="1" x14ac:dyDescent="0.3">
      <c r="G852" s="99"/>
      <c r="I852" s="99"/>
      <c r="U852" s="99"/>
    </row>
    <row r="853" spans="7:21" ht="15.75" customHeight="1" x14ac:dyDescent="0.3">
      <c r="G853" s="99"/>
      <c r="I853" s="99"/>
      <c r="U853" s="99"/>
    </row>
    <row r="854" spans="7:21" ht="15.75" customHeight="1" x14ac:dyDescent="0.3">
      <c r="G854" s="99"/>
      <c r="I854" s="99"/>
      <c r="U854" s="99"/>
    </row>
    <row r="855" spans="7:21" ht="15.75" customHeight="1" x14ac:dyDescent="0.3">
      <c r="G855" s="99"/>
      <c r="I855" s="99"/>
      <c r="U855" s="99"/>
    </row>
    <row r="856" spans="7:21" ht="15.75" customHeight="1" x14ac:dyDescent="0.3">
      <c r="G856" s="99"/>
      <c r="I856" s="99"/>
      <c r="U856" s="99"/>
    </row>
    <row r="857" spans="7:21" ht="15.75" customHeight="1" x14ac:dyDescent="0.3">
      <c r="G857" s="99"/>
      <c r="I857" s="99"/>
      <c r="U857" s="99"/>
    </row>
    <row r="858" spans="7:21" ht="15.75" customHeight="1" x14ac:dyDescent="0.3">
      <c r="G858" s="99"/>
      <c r="I858" s="99"/>
      <c r="U858" s="99"/>
    </row>
    <row r="859" spans="7:21" ht="15.75" customHeight="1" x14ac:dyDescent="0.3">
      <c r="G859" s="99"/>
      <c r="I859" s="99"/>
      <c r="U859" s="99"/>
    </row>
    <row r="860" spans="7:21" ht="15.75" customHeight="1" x14ac:dyDescent="0.3">
      <c r="G860" s="99"/>
      <c r="I860" s="99"/>
      <c r="U860" s="99"/>
    </row>
    <row r="861" spans="7:21" ht="15.75" customHeight="1" x14ac:dyDescent="0.3">
      <c r="G861" s="99"/>
      <c r="I861" s="99"/>
      <c r="U861" s="99"/>
    </row>
    <row r="862" spans="7:21" ht="15.75" customHeight="1" x14ac:dyDescent="0.3">
      <c r="G862" s="99"/>
      <c r="I862" s="99"/>
      <c r="U862" s="99"/>
    </row>
    <row r="863" spans="7:21" ht="15.75" customHeight="1" x14ac:dyDescent="0.3">
      <c r="G863" s="99"/>
      <c r="I863" s="99"/>
      <c r="U863" s="99"/>
    </row>
    <row r="864" spans="7:21" ht="15.75" customHeight="1" x14ac:dyDescent="0.3">
      <c r="G864" s="99"/>
      <c r="I864" s="99"/>
      <c r="U864" s="99"/>
    </row>
    <row r="865" spans="7:21" ht="15.75" customHeight="1" x14ac:dyDescent="0.3">
      <c r="G865" s="99"/>
      <c r="I865" s="99"/>
      <c r="U865" s="99"/>
    </row>
    <row r="866" spans="7:21" ht="15.75" customHeight="1" x14ac:dyDescent="0.3">
      <c r="G866" s="99"/>
      <c r="I866" s="99"/>
      <c r="U866" s="99"/>
    </row>
    <row r="867" spans="7:21" ht="15.75" customHeight="1" x14ac:dyDescent="0.3">
      <c r="G867" s="99"/>
      <c r="I867" s="99"/>
      <c r="U867" s="99"/>
    </row>
    <row r="868" spans="7:21" ht="15.75" customHeight="1" x14ac:dyDescent="0.3">
      <c r="G868" s="99"/>
      <c r="I868" s="99"/>
      <c r="U868" s="99"/>
    </row>
    <row r="869" spans="7:21" ht="15.75" customHeight="1" x14ac:dyDescent="0.3">
      <c r="G869" s="99"/>
      <c r="I869" s="99"/>
      <c r="U869" s="99"/>
    </row>
    <row r="870" spans="7:21" ht="15.75" customHeight="1" x14ac:dyDescent="0.3">
      <c r="G870" s="99"/>
      <c r="I870" s="99"/>
      <c r="U870" s="99"/>
    </row>
    <row r="871" spans="7:21" ht="15.75" customHeight="1" x14ac:dyDescent="0.3">
      <c r="G871" s="99"/>
      <c r="I871" s="99"/>
      <c r="U871" s="99"/>
    </row>
    <row r="872" spans="7:21" ht="15.75" customHeight="1" x14ac:dyDescent="0.3">
      <c r="G872" s="99"/>
      <c r="I872" s="99"/>
      <c r="U872" s="99"/>
    </row>
    <row r="873" spans="7:21" ht="15.75" customHeight="1" x14ac:dyDescent="0.3">
      <c r="G873" s="99"/>
      <c r="I873" s="99"/>
      <c r="U873" s="99"/>
    </row>
    <row r="874" spans="7:21" ht="15.75" customHeight="1" x14ac:dyDescent="0.3">
      <c r="G874" s="99"/>
      <c r="I874" s="99"/>
      <c r="U874" s="99"/>
    </row>
    <row r="875" spans="7:21" ht="15.75" customHeight="1" x14ac:dyDescent="0.3">
      <c r="G875" s="99"/>
      <c r="I875" s="99"/>
      <c r="U875" s="99"/>
    </row>
    <row r="876" spans="7:21" ht="15.75" customHeight="1" x14ac:dyDescent="0.3">
      <c r="G876" s="99"/>
      <c r="I876" s="99"/>
      <c r="U876" s="99"/>
    </row>
    <row r="877" spans="7:21" ht="15.75" customHeight="1" x14ac:dyDescent="0.3">
      <c r="G877" s="99"/>
      <c r="I877" s="99"/>
      <c r="U877" s="99"/>
    </row>
    <row r="878" spans="7:21" ht="15.75" customHeight="1" x14ac:dyDescent="0.3">
      <c r="G878" s="99"/>
      <c r="I878" s="99"/>
      <c r="U878" s="99"/>
    </row>
    <row r="879" spans="7:21" ht="15.75" customHeight="1" x14ac:dyDescent="0.3">
      <c r="G879" s="99"/>
      <c r="I879" s="99"/>
      <c r="U879" s="99"/>
    </row>
    <row r="880" spans="7:21" ht="15.75" customHeight="1" x14ac:dyDescent="0.3">
      <c r="G880" s="99"/>
      <c r="I880" s="99"/>
      <c r="U880" s="99"/>
    </row>
    <row r="881" spans="7:21" ht="15.75" customHeight="1" x14ac:dyDescent="0.3">
      <c r="G881" s="99"/>
      <c r="I881" s="99"/>
      <c r="U881" s="99"/>
    </row>
    <row r="882" spans="7:21" ht="15.75" customHeight="1" x14ac:dyDescent="0.3">
      <c r="G882" s="99"/>
      <c r="I882" s="99"/>
      <c r="U882" s="99"/>
    </row>
    <row r="883" spans="7:21" ht="15.75" customHeight="1" x14ac:dyDescent="0.3">
      <c r="G883" s="99"/>
      <c r="I883" s="99"/>
      <c r="U883" s="99"/>
    </row>
    <row r="884" spans="7:21" ht="15.75" customHeight="1" x14ac:dyDescent="0.3">
      <c r="G884" s="99"/>
      <c r="I884" s="99"/>
      <c r="U884" s="99"/>
    </row>
    <row r="885" spans="7:21" ht="15.75" customHeight="1" x14ac:dyDescent="0.3">
      <c r="G885" s="99"/>
      <c r="I885" s="99"/>
      <c r="U885" s="99"/>
    </row>
    <row r="886" spans="7:21" ht="15.75" customHeight="1" x14ac:dyDescent="0.3">
      <c r="G886" s="99"/>
      <c r="I886" s="99"/>
      <c r="U886" s="99"/>
    </row>
    <row r="887" spans="7:21" ht="15.75" customHeight="1" x14ac:dyDescent="0.3">
      <c r="G887" s="99"/>
      <c r="I887" s="99"/>
      <c r="U887" s="99"/>
    </row>
    <row r="888" spans="7:21" ht="15.75" customHeight="1" x14ac:dyDescent="0.3">
      <c r="G888" s="99"/>
      <c r="I888" s="99"/>
      <c r="U888" s="99"/>
    </row>
    <row r="889" spans="7:21" ht="15.75" customHeight="1" x14ac:dyDescent="0.3">
      <c r="G889" s="99"/>
      <c r="I889" s="99"/>
      <c r="U889" s="99"/>
    </row>
    <row r="890" spans="7:21" ht="15.75" customHeight="1" x14ac:dyDescent="0.3">
      <c r="G890" s="99"/>
      <c r="I890" s="99"/>
      <c r="U890" s="99"/>
    </row>
    <row r="891" spans="7:21" ht="15.75" customHeight="1" x14ac:dyDescent="0.3">
      <c r="G891" s="99"/>
      <c r="I891" s="99"/>
      <c r="U891" s="99"/>
    </row>
    <row r="892" spans="7:21" ht="15.75" customHeight="1" x14ac:dyDescent="0.3">
      <c r="G892" s="99"/>
      <c r="I892" s="99"/>
      <c r="U892" s="99"/>
    </row>
    <row r="893" spans="7:21" ht="15.75" customHeight="1" x14ac:dyDescent="0.3">
      <c r="G893" s="99"/>
      <c r="I893" s="99"/>
      <c r="U893" s="99"/>
    </row>
    <row r="894" spans="7:21" ht="15.75" customHeight="1" x14ac:dyDescent="0.3">
      <c r="G894" s="99"/>
      <c r="I894" s="99"/>
      <c r="U894" s="99"/>
    </row>
    <row r="895" spans="7:21" ht="15.75" customHeight="1" x14ac:dyDescent="0.3">
      <c r="G895" s="99"/>
      <c r="I895" s="99"/>
      <c r="U895" s="99"/>
    </row>
    <row r="896" spans="7:21" ht="15.75" customHeight="1" x14ac:dyDescent="0.3">
      <c r="G896" s="99"/>
      <c r="I896" s="99"/>
      <c r="U896" s="99"/>
    </row>
    <row r="897" spans="7:21" ht="15.75" customHeight="1" x14ac:dyDescent="0.3">
      <c r="G897" s="99"/>
      <c r="I897" s="99"/>
      <c r="U897" s="99"/>
    </row>
    <row r="898" spans="7:21" ht="15.75" customHeight="1" x14ac:dyDescent="0.3">
      <c r="G898" s="99"/>
      <c r="I898" s="99"/>
      <c r="U898" s="99"/>
    </row>
    <row r="899" spans="7:21" ht="15.75" customHeight="1" x14ac:dyDescent="0.3">
      <c r="G899" s="99"/>
      <c r="I899" s="99"/>
      <c r="U899" s="99"/>
    </row>
    <row r="900" spans="7:21" ht="15.75" customHeight="1" x14ac:dyDescent="0.3">
      <c r="G900" s="99"/>
      <c r="I900" s="99"/>
      <c r="U900" s="99"/>
    </row>
    <row r="901" spans="7:21" ht="15.75" customHeight="1" x14ac:dyDescent="0.3">
      <c r="G901" s="99"/>
      <c r="I901" s="99"/>
      <c r="U901" s="99"/>
    </row>
    <row r="902" spans="7:21" ht="15.75" customHeight="1" x14ac:dyDescent="0.3">
      <c r="G902" s="99"/>
      <c r="I902" s="99"/>
      <c r="U902" s="99"/>
    </row>
    <row r="903" spans="7:21" ht="15.75" customHeight="1" x14ac:dyDescent="0.3">
      <c r="G903" s="99"/>
      <c r="I903" s="99"/>
      <c r="U903" s="99"/>
    </row>
    <row r="904" spans="7:21" ht="15.75" customHeight="1" x14ac:dyDescent="0.3">
      <c r="G904" s="99"/>
      <c r="I904" s="99"/>
      <c r="U904" s="99"/>
    </row>
    <row r="905" spans="7:21" ht="15.75" customHeight="1" x14ac:dyDescent="0.3">
      <c r="G905" s="99"/>
      <c r="I905" s="99"/>
      <c r="U905" s="99"/>
    </row>
    <row r="906" spans="7:21" ht="15.75" customHeight="1" x14ac:dyDescent="0.3">
      <c r="G906" s="99"/>
      <c r="I906" s="99"/>
      <c r="U906" s="99"/>
    </row>
    <row r="907" spans="7:21" ht="15.75" customHeight="1" x14ac:dyDescent="0.3">
      <c r="G907" s="99"/>
      <c r="I907" s="99"/>
      <c r="U907" s="99"/>
    </row>
    <row r="908" spans="7:21" ht="15.75" customHeight="1" x14ac:dyDescent="0.3">
      <c r="G908" s="99"/>
      <c r="I908" s="99"/>
      <c r="U908" s="99"/>
    </row>
    <row r="909" spans="7:21" ht="15.75" customHeight="1" x14ac:dyDescent="0.3">
      <c r="G909" s="99"/>
      <c r="I909" s="99"/>
      <c r="U909" s="99"/>
    </row>
    <row r="910" spans="7:21" ht="15.75" customHeight="1" x14ac:dyDescent="0.3">
      <c r="G910" s="99"/>
      <c r="I910" s="99"/>
      <c r="U910" s="99"/>
    </row>
    <row r="911" spans="7:21" ht="15.75" customHeight="1" x14ac:dyDescent="0.3">
      <c r="G911" s="99"/>
      <c r="I911" s="99"/>
      <c r="U911" s="99"/>
    </row>
    <row r="912" spans="7:21" ht="15.75" customHeight="1" x14ac:dyDescent="0.3">
      <c r="G912" s="99"/>
      <c r="I912" s="99"/>
      <c r="U912" s="99"/>
    </row>
    <row r="913" spans="7:21" ht="15.75" customHeight="1" x14ac:dyDescent="0.3">
      <c r="G913" s="99"/>
      <c r="I913" s="99"/>
      <c r="U913" s="99"/>
    </row>
    <row r="914" spans="7:21" ht="15.75" customHeight="1" x14ac:dyDescent="0.3">
      <c r="G914" s="99"/>
      <c r="I914" s="99"/>
      <c r="U914" s="99"/>
    </row>
    <row r="915" spans="7:21" ht="15.75" customHeight="1" x14ac:dyDescent="0.3">
      <c r="G915" s="99"/>
      <c r="I915" s="99"/>
      <c r="U915" s="99"/>
    </row>
    <row r="916" spans="7:21" ht="15.75" customHeight="1" x14ac:dyDescent="0.3">
      <c r="G916" s="99"/>
      <c r="I916" s="99"/>
      <c r="U916" s="99"/>
    </row>
    <row r="917" spans="7:21" ht="15.75" customHeight="1" x14ac:dyDescent="0.3">
      <c r="G917" s="99"/>
      <c r="I917" s="99"/>
      <c r="U917" s="99"/>
    </row>
    <row r="918" spans="7:21" ht="15.75" customHeight="1" x14ac:dyDescent="0.3">
      <c r="G918" s="99"/>
      <c r="I918" s="99"/>
      <c r="U918" s="99"/>
    </row>
    <row r="919" spans="7:21" ht="15.75" customHeight="1" x14ac:dyDescent="0.3">
      <c r="G919" s="99"/>
      <c r="I919" s="99"/>
      <c r="U919" s="99"/>
    </row>
    <row r="920" spans="7:21" ht="15.75" customHeight="1" x14ac:dyDescent="0.3">
      <c r="G920" s="99"/>
      <c r="I920" s="99"/>
      <c r="U920" s="99"/>
    </row>
    <row r="921" spans="7:21" ht="15.75" customHeight="1" x14ac:dyDescent="0.3">
      <c r="G921" s="99"/>
      <c r="I921" s="99"/>
      <c r="U921" s="99"/>
    </row>
    <row r="922" spans="7:21" ht="15.75" customHeight="1" x14ac:dyDescent="0.3">
      <c r="G922" s="99"/>
      <c r="I922" s="99"/>
      <c r="U922" s="99"/>
    </row>
    <row r="923" spans="7:21" ht="15.75" customHeight="1" x14ac:dyDescent="0.3">
      <c r="G923" s="99"/>
      <c r="I923" s="99"/>
      <c r="U923" s="99"/>
    </row>
    <row r="924" spans="7:21" ht="15.75" customHeight="1" x14ac:dyDescent="0.3">
      <c r="G924" s="99"/>
      <c r="I924" s="99"/>
      <c r="U924" s="99"/>
    </row>
    <row r="925" spans="7:21" ht="15.75" customHeight="1" x14ac:dyDescent="0.3">
      <c r="G925" s="99"/>
      <c r="I925" s="99"/>
      <c r="U925" s="99"/>
    </row>
    <row r="926" spans="7:21" ht="15.75" customHeight="1" x14ac:dyDescent="0.3">
      <c r="G926" s="99"/>
      <c r="I926" s="99"/>
      <c r="U926" s="99"/>
    </row>
    <row r="927" spans="7:21" ht="15.75" customHeight="1" x14ac:dyDescent="0.3">
      <c r="G927" s="99"/>
      <c r="I927" s="99"/>
      <c r="U927" s="99"/>
    </row>
    <row r="928" spans="7:21" ht="15.75" customHeight="1" x14ac:dyDescent="0.3">
      <c r="G928" s="99"/>
      <c r="I928" s="99"/>
      <c r="U928" s="99"/>
    </row>
    <row r="929" spans="7:21" ht="15.75" customHeight="1" x14ac:dyDescent="0.3">
      <c r="G929" s="99"/>
      <c r="I929" s="99"/>
      <c r="U929" s="99"/>
    </row>
    <row r="930" spans="7:21" ht="15.75" customHeight="1" x14ac:dyDescent="0.3">
      <c r="G930" s="99"/>
      <c r="I930" s="99"/>
      <c r="U930" s="99"/>
    </row>
    <row r="931" spans="7:21" ht="15.75" customHeight="1" x14ac:dyDescent="0.3">
      <c r="G931" s="99"/>
      <c r="I931" s="99"/>
      <c r="U931" s="99"/>
    </row>
    <row r="932" spans="7:21" ht="15.75" customHeight="1" x14ac:dyDescent="0.3">
      <c r="G932" s="99"/>
      <c r="I932" s="99"/>
      <c r="U932" s="99"/>
    </row>
    <row r="933" spans="7:21" ht="15.75" customHeight="1" x14ac:dyDescent="0.3">
      <c r="G933" s="99"/>
      <c r="I933" s="99"/>
      <c r="U933" s="99"/>
    </row>
    <row r="934" spans="7:21" ht="15.75" customHeight="1" x14ac:dyDescent="0.3">
      <c r="G934" s="99"/>
      <c r="I934" s="99"/>
      <c r="U934" s="99"/>
    </row>
    <row r="935" spans="7:21" ht="15.75" customHeight="1" x14ac:dyDescent="0.3">
      <c r="G935" s="99"/>
      <c r="I935" s="99"/>
      <c r="U935" s="99"/>
    </row>
    <row r="936" spans="7:21" ht="15.75" customHeight="1" x14ac:dyDescent="0.3">
      <c r="G936" s="99"/>
      <c r="I936" s="99"/>
      <c r="U936" s="99"/>
    </row>
    <row r="937" spans="7:21" ht="15.75" customHeight="1" x14ac:dyDescent="0.3">
      <c r="G937" s="99"/>
      <c r="I937" s="99"/>
      <c r="U937" s="99"/>
    </row>
    <row r="938" spans="7:21" ht="15.75" customHeight="1" x14ac:dyDescent="0.3">
      <c r="G938" s="99"/>
      <c r="I938" s="99"/>
      <c r="U938" s="99"/>
    </row>
    <row r="939" spans="7:21" ht="15.75" customHeight="1" x14ac:dyDescent="0.3">
      <c r="G939" s="99"/>
      <c r="I939" s="99"/>
      <c r="U939" s="99"/>
    </row>
    <row r="940" spans="7:21" ht="15.75" customHeight="1" x14ac:dyDescent="0.3">
      <c r="G940" s="99"/>
      <c r="I940" s="99"/>
      <c r="U940" s="99"/>
    </row>
    <row r="941" spans="7:21" ht="15.75" customHeight="1" x14ac:dyDescent="0.3">
      <c r="G941" s="99"/>
      <c r="I941" s="99"/>
      <c r="U941" s="99"/>
    </row>
    <row r="942" spans="7:21" ht="15.75" customHeight="1" x14ac:dyDescent="0.3">
      <c r="G942" s="99"/>
      <c r="I942" s="99"/>
      <c r="U942" s="99"/>
    </row>
    <row r="943" spans="7:21" ht="15.75" customHeight="1" x14ac:dyDescent="0.3">
      <c r="G943" s="99"/>
      <c r="I943" s="99"/>
      <c r="U943" s="99"/>
    </row>
    <row r="944" spans="7:21" ht="15.75" customHeight="1" x14ac:dyDescent="0.3">
      <c r="G944" s="99"/>
      <c r="I944" s="99"/>
      <c r="U944" s="99"/>
    </row>
    <row r="945" spans="7:21" ht="15.75" customHeight="1" x14ac:dyDescent="0.3">
      <c r="G945" s="99"/>
      <c r="I945" s="99"/>
      <c r="U945" s="99"/>
    </row>
    <row r="946" spans="7:21" ht="15.75" customHeight="1" x14ac:dyDescent="0.3">
      <c r="G946" s="99"/>
      <c r="I946" s="99"/>
      <c r="U946" s="99"/>
    </row>
    <row r="947" spans="7:21" ht="15.75" customHeight="1" x14ac:dyDescent="0.3">
      <c r="G947" s="99"/>
      <c r="I947" s="99"/>
      <c r="U947" s="99"/>
    </row>
    <row r="948" spans="7:21" ht="15.75" customHeight="1" x14ac:dyDescent="0.3">
      <c r="G948" s="99"/>
      <c r="I948" s="99"/>
      <c r="U948" s="99"/>
    </row>
    <row r="949" spans="7:21" ht="15.75" customHeight="1" x14ac:dyDescent="0.3">
      <c r="G949" s="99"/>
      <c r="I949" s="99"/>
      <c r="U949" s="99"/>
    </row>
    <row r="950" spans="7:21" ht="15.75" customHeight="1" x14ac:dyDescent="0.3">
      <c r="G950" s="99"/>
      <c r="I950" s="99"/>
      <c r="U950" s="99"/>
    </row>
    <row r="951" spans="7:21" ht="15.75" customHeight="1" x14ac:dyDescent="0.3">
      <c r="G951" s="99"/>
      <c r="I951" s="99"/>
      <c r="U951" s="99"/>
    </row>
    <row r="952" spans="7:21" ht="15.75" customHeight="1" x14ac:dyDescent="0.3">
      <c r="G952" s="99"/>
      <c r="I952" s="99"/>
      <c r="U952" s="99"/>
    </row>
    <row r="953" spans="7:21" ht="15.75" customHeight="1" x14ac:dyDescent="0.3">
      <c r="G953" s="99"/>
      <c r="I953" s="99"/>
      <c r="U953" s="99"/>
    </row>
    <row r="954" spans="7:21" ht="15.75" customHeight="1" x14ac:dyDescent="0.3">
      <c r="G954" s="99"/>
      <c r="I954" s="99"/>
      <c r="U954" s="99"/>
    </row>
    <row r="955" spans="7:21" ht="15.75" customHeight="1" x14ac:dyDescent="0.3">
      <c r="G955" s="99"/>
      <c r="I955" s="99"/>
      <c r="U955" s="99"/>
    </row>
    <row r="956" spans="7:21" ht="15.75" customHeight="1" x14ac:dyDescent="0.3">
      <c r="G956" s="99"/>
      <c r="I956" s="99"/>
      <c r="U956" s="99"/>
    </row>
    <row r="957" spans="7:21" ht="15.75" customHeight="1" x14ac:dyDescent="0.3">
      <c r="G957" s="99"/>
      <c r="I957" s="99"/>
      <c r="U957" s="99"/>
    </row>
    <row r="958" spans="7:21" ht="15.75" customHeight="1" x14ac:dyDescent="0.3">
      <c r="G958" s="99"/>
      <c r="I958" s="99"/>
      <c r="U958" s="99"/>
    </row>
    <row r="959" spans="7:21" ht="15.75" customHeight="1" x14ac:dyDescent="0.3">
      <c r="G959" s="99"/>
      <c r="I959" s="99"/>
      <c r="U959" s="99"/>
    </row>
    <row r="960" spans="7:21" ht="15.75" customHeight="1" x14ac:dyDescent="0.3">
      <c r="G960" s="99"/>
      <c r="I960" s="99"/>
      <c r="U960" s="99"/>
    </row>
    <row r="961" spans="7:31" ht="15.75" customHeight="1" x14ac:dyDescent="0.3">
      <c r="G961" s="99"/>
      <c r="I961" s="99"/>
      <c r="U961" s="99"/>
    </row>
    <row r="962" spans="7:31" ht="15.75" customHeight="1" x14ac:dyDescent="0.3">
      <c r="G962" s="99"/>
      <c r="I962" s="99"/>
      <c r="U962" s="99"/>
    </row>
    <row r="963" spans="7:31" ht="15.75" customHeight="1" x14ac:dyDescent="0.3">
      <c r="G963" s="99"/>
      <c r="I963" s="99"/>
      <c r="U963" s="99"/>
    </row>
    <row r="964" spans="7:31" ht="15.75" customHeight="1" x14ac:dyDescent="0.3">
      <c r="G964" s="99"/>
      <c r="I964" s="99"/>
      <c r="U964" s="99"/>
    </row>
    <row r="965" spans="7:31" ht="15.75" customHeight="1" x14ac:dyDescent="0.3">
      <c r="G965" s="99"/>
      <c r="I965" s="99"/>
      <c r="U965" s="99"/>
    </row>
    <row r="966" spans="7:31" ht="15.75" customHeight="1" x14ac:dyDescent="0.3">
      <c r="G966" s="99"/>
      <c r="I966" s="99"/>
      <c r="U966" s="99"/>
    </row>
    <row r="967" spans="7:31" ht="15.75" customHeight="1" x14ac:dyDescent="0.3">
      <c r="G967" s="99"/>
      <c r="I967" s="99"/>
      <c r="U967" s="99"/>
    </row>
    <row r="968" spans="7:31" ht="15.75" customHeight="1" x14ac:dyDescent="0.3">
      <c r="G968" s="99"/>
      <c r="I968" s="99"/>
      <c r="U968" s="99"/>
    </row>
    <row r="969" spans="7:31" ht="15.75" customHeight="1" x14ac:dyDescent="0.3">
      <c r="G969" s="99"/>
      <c r="I969" s="99"/>
      <c r="U969" s="99"/>
    </row>
    <row r="970" spans="7:31" ht="15.75" customHeight="1" x14ac:dyDescent="0.3">
      <c r="G970" s="99"/>
      <c r="I970" s="99"/>
      <c r="U970" s="99"/>
    </row>
    <row r="971" spans="7:31" ht="15.75" customHeight="1" x14ac:dyDescent="0.3">
      <c r="G971" s="99"/>
      <c r="I971" s="99"/>
      <c r="U971" s="99"/>
    </row>
    <row r="972" spans="7:31" ht="15.75" customHeight="1" x14ac:dyDescent="0.3">
      <c r="G972" s="99"/>
      <c r="I972" s="99"/>
      <c r="U972" s="99"/>
    </row>
    <row r="973" spans="7:31" ht="15.75" customHeight="1" x14ac:dyDescent="0.3">
      <c r="G973" s="99"/>
      <c r="I973" s="99"/>
      <c r="U973" s="99"/>
    </row>
    <row r="974" spans="7:31" ht="15.75" customHeight="1" x14ac:dyDescent="0.3">
      <c r="G974" s="99"/>
      <c r="I974" s="99"/>
      <c r="U974" s="99"/>
      <c r="Z974" s="201"/>
      <c r="AA974" s="201"/>
      <c r="AB974" s="201"/>
      <c r="AC974" s="201"/>
      <c r="AD974" s="201"/>
      <c r="AE974" s="201"/>
    </row>
  </sheetData>
  <mergeCells count="414">
    <mergeCell ref="Z151:AE151"/>
    <mergeCell ref="Z152:AE152"/>
    <mergeCell ref="Z153:AE153"/>
    <mergeCell ref="Z154:AE154"/>
    <mergeCell ref="Z155:AE155"/>
    <mergeCell ref="M163:M164"/>
    <mergeCell ref="N163:N164"/>
    <mergeCell ref="O163:O164"/>
    <mergeCell ref="P163:P164"/>
    <mergeCell ref="Q163:Q164"/>
    <mergeCell ref="R163:T163"/>
    <mergeCell ref="Z156:AE156"/>
    <mergeCell ref="Z157:AE157"/>
    <mergeCell ref="Z158:AE158"/>
    <mergeCell ref="Z159:AE159"/>
    <mergeCell ref="Z160:AE160"/>
    <mergeCell ref="F161:AE161"/>
    <mergeCell ref="L163:L164"/>
    <mergeCell ref="I163:I164"/>
    <mergeCell ref="J163:J164"/>
    <mergeCell ref="K163:K164"/>
    <mergeCell ref="F163:F164"/>
    <mergeCell ref="G163:G164"/>
    <mergeCell ref="H163:H164"/>
    <mergeCell ref="Z142:AE142"/>
    <mergeCell ref="Z143:AE143"/>
    <mergeCell ref="Z144:AE144"/>
    <mergeCell ref="Z145:AE145"/>
    <mergeCell ref="Z146:AE146"/>
    <mergeCell ref="Z147:AE147"/>
    <mergeCell ref="Z148:AE148"/>
    <mergeCell ref="Z149:AE149"/>
    <mergeCell ref="Z150:AE150"/>
    <mergeCell ref="Z133:AE133"/>
    <mergeCell ref="Z134:AE134"/>
    <mergeCell ref="Z135:AE135"/>
    <mergeCell ref="Z136:AE136"/>
    <mergeCell ref="Z137:AE137"/>
    <mergeCell ref="Z138:AE138"/>
    <mergeCell ref="Z139:AE139"/>
    <mergeCell ref="Z140:AE140"/>
    <mergeCell ref="Z141:AE141"/>
    <mergeCell ref="Z124:AE124"/>
    <mergeCell ref="Z125:AE125"/>
    <mergeCell ref="Z126:AE126"/>
    <mergeCell ref="Z127:AE127"/>
    <mergeCell ref="Z128:AE128"/>
    <mergeCell ref="Z129:AE129"/>
    <mergeCell ref="Z130:AE130"/>
    <mergeCell ref="Z131:AE131"/>
    <mergeCell ref="Z132:AE132"/>
    <mergeCell ref="Z112:AE112"/>
    <mergeCell ref="Z113:AE113"/>
    <mergeCell ref="Z114:AE114"/>
    <mergeCell ref="Z115:AE115"/>
    <mergeCell ref="Z116:AE116"/>
    <mergeCell ref="Z117:AE117"/>
    <mergeCell ref="Z118:AE118"/>
    <mergeCell ref="Z122:AE122"/>
    <mergeCell ref="Z123:AE123"/>
    <mergeCell ref="Z103:AE103"/>
    <mergeCell ref="Z104:AE104"/>
    <mergeCell ref="Z105:AE105"/>
    <mergeCell ref="Z106:AE106"/>
    <mergeCell ref="Z107:AE107"/>
    <mergeCell ref="Z108:AE108"/>
    <mergeCell ref="Z109:AE109"/>
    <mergeCell ref="Z110:AE110"/>
    <mergeCell ref="Z111:AE111"/>
    <mergeCell ref="Z94:AE94"/>
    <mergeCell ref="Z95:AE95"/>
    <mergeCell ref="Z96:AE96"/>
    <mergeCell ref="Z97:AE97"/>
    <mergeCell ref="Z98:AE98"/>
    <mergeCell ref="Z99:AE99"/>
    <mergeCell ref="Z100:AE100"/>
    <mergeCell ref="Z101:AE101"/>
    <mergeCell ref="Z102:AE102"/>
    <mergeCell ref="Z85:AE85"/>
    <mergeCell ref="Z86:AE86"/>
    <mergeCell ref="Z87:AE87"/>
    <mergeCell ref="Z88:AE88"/>
    <mergeCell ref="Z89:AE89"/>
    <mergeCell ref="Z90:AE90"/>
    <mergeCell ref="Z91:AE91"/>
    <mergeCell ref="Z92:AE92"/>
    <mergeCell ref="Z93:AE93"/>
    <mergeCell ref="Z76:AE76"/>
    <mergeCell ref="Z77:AE77"/>
    <mergeCell ref="Z78:AE78"/>
    <mergeCell ref="Z79:AE79"/>
    <mergeCell ref="Z80:AE80"/>
    <mergeCell ref="Z81:AE81"/>
    <mergeCell ref="Z82:AE82"/>
    <mergeCell ref="Z83:AE83"/>
    <mergeCell ref="Z84:AE84"/>
    <mergeCell ref="Z67:AE67"/>
    <mergeCell ref="Z68:AE68"/>
    <mergeCell ref="Z69:AE69"/>
    <mergeCell ref="Z70:AE70"/>
    <mergeCell ref="Z71:AE71"/>
    <mergeCell ref="Z72:AE72"/>
    <mergeCell ref="Z73:AE73"/>
    <mergeCell ref="Z74:AE74"/>
    <mergeCell ref="Z75:AE75"/>
    <mergeCell ref="Z58:AE58"/>
    <mergeCell ref="Z59:AE59"/>
    <mergeCell ref="Z60:AE60"/>
    <mergeCell ref="Z61:AE61"/>
    <mergeCell ref="Z62:AE62"/>
    <mergeCell ref="Z63:AE63"/>
    <mergeCell ref="Z64:AE64"/>
    <mergeCell ref="Z65:AE65"/>
    <mergeCell ref="Z66:AE66"/>
    <mergeCell ref="B31:B42"/>
    <mergeCell ref="C31:C42"/>
    <mergeCell ref="Z27:AE27"/>
    <mergeCell ref="Z28:AE28"/>
    <mergeCell ref="Z29:AE29"/>
    <mergeCell ref="Z30:AE30"/>
    <mergeCell ref="Z31:AE31"/>
    <mergeCell ref="Z32:AE32"/>
    <mergeCell ref="Z33:AE33"/>
    <mergeCell ref="Z34:AE34"/>
    <mergeCell ref="Z35:AE35"/>
    <mergeCell ref="Z36:AE36"/>
    <mergeCell ref="Z37:AE37"/>
    <mergeCell ref="Z38:AE38"/>
    <mergeCell ref="Z39:AE39"/>
    <mergeCell ref="Z40:AE40"/>
    <mergeCell ref="Z41:AE41"/>
    <mergeCell ref="Z42:AE42"/>
    <mergeCell ref="L3:L4"/>
    <mergeCell ref="M3:M4"/>
    <mergeCell ref="N3:N4"/>
    <mergeCell ref="O3:O4"/>
    <mergeCell ref="P3:P4"/>
    <mergeCell ref="Q3:Q4"/>
    <mergeCell ref="F1:AE1"/>
    <mergeCell ref="B3:B4"/>
    <mergeCell ref="C3:C4"/>
    <mergeCell ref="D3:D4"/>
    <mergeCell ref="E3:E4"/>
    <mergeCell ref="F3:F4"/>
    <mergeCell ref="G3:G4"/>
    <mergeCell ref="R3:T3"/>
    <mergeCell ref="U3:V3"/>
    <mergeCell ref="J3:J4"/>
    <mergeCell ref="K3:K4"/>
    <mergeCell ref="H3:H4"/>
    <mergeCell ref="I3:I4"/>
    <mergeCell ref="B135:B151"/>
    <mergeCell ref="C135:C151"/>
    <mergeCell ref="B152:B160"/>
    <mergeCell ref="C152:C160"/>
    <mergeCell ref="B161:E161"/>
    <mergeCell ref="A163:A164"/>
    <mergeCell ref="B163:B164"/>
    <mergeCell ref="E163:E164"/>
    <mergeCell ref="B105:B123"/>
    <mergeCell ref="C105:C123"/>
    <mergeCell ref="B124:B134"/>
    <mergeCell ref="C124:C134"/>
    <mergeCell ref="C163:C164"/>
    <mergeCell ref="D163:D164"/>
    <mergeCell ref="B43:B50"/>
    <mergeCell ref="C43:C50"/>
    <mergeCell ref="B51:B61"/>
    <mergeCell ref="C51:C61"/>
    <mergeCell ref="B62:B75"/>
    <mergeCell ref="C62:C75"/>
    <mergeCell ref="C76:C87"/>
    <mergeCell ref="B76:B87"/>
    <mergeCell ref="B88:B104"/>
    <mergeCell ref="C88:C104"/>
    <mergeCell ref="B5:B11"/>
    <mergeCell ref="C5:C11"/>
    <mergeCell ref="B12:B19"/>
    <mergeCell ref="C12:C19"/>
    <mergeCell ref="C20:C30"/>
    <mergeCell ref="B20:B30"/>
    <mergeCell ref="Z3:AE4"/>
    <mergeCell ref="Z5:AE5"/>
    <mergeCell ref="Z6:AE6"/>
    <mergeCell ref="Z7:AE7"/>
    <mergeCell ref="Z8:AE8"/>
    <mergeCell ref="Z9:AE9"/>
    <mergeCell ref="Z10:AE10"/>
    <mergeCell ref="Z25:AE25"/>
    <mergeCell ref="Z26:AE26"/>
    <mergeCell ref="Z18:AE18"/>
    <mergeCell ref="Z19:AE19"/>
    <mergeCell ref="Z20:AE20"/>
    <mergeCell ref="Z21:AE21"/>
    <mergeCell ref="Z22:AE22"/>
    <mergeCell ref="Z23:AE23"/>
    <mergeCell ref="Z24:AE24"/>
    <mergeCell ref="Z13:AE13"/>
    <mergeCell ref="Z14:AE14"/>
    <mergeCell ref="Z15:AE15"/>
    <mergeCell ref="Z16:AE16"/>
    <mergeCell ref="Z17:AE17"/>
    <mergeCell ref="Z303:AE303"/>
    <mergeCell ref="Z304:AE304"/>
    <mergeCell ref="Z305:AE305"/>
    <mergeCell ref="Z306:AE306"/>
    <mergeCell ref="Z307:AE307"/>
    <mergeCell ref="Z308:AE308"/>
    <mergeCell ref="Z300:AE300"/>
    <mergeCell ref="Z301:AE301"/>
    <mergeCell ref="Z302:AE302"/>
    <mergeCell ref="Z285:AE285"/>
    <mergeCell ref="Z286:AE286"/>
    <mergeCell ref="Z287:AE287"/>
    <mergeCell ref="Z288:AE288"/>
    <mergeCell ref="Z289:AE289"/>
    <mergeCell ref="Z290:AE290"/>
    <mergeCell ref="Z291:AE291"/>
    <mergeCell ref="Z292:AE292"/>
    <mergeCell ref="Z293:AE293"/>
    <mergeCell ref="Z276:AE276"/>
    <mergeCell ref="Z277:AE277"/>
    <mergeCell ref="Z278:AE278"/>
    <mergeCell ref="Z309:AE309"/>
    <mergeCell ref="Z11:AE11"/>
    <mergeCell ref="Z12:AE12"/>
    <mergeCell ref="Z43:AE43"/>
    <mergeCell ref="Z44:AE44"/>
    <mergeCell ref="Z45:AE45"/>
    <mergeCell ref="Z46:AE46"/>
    <mergeCell ref="Z47:AE47"/>
    <mergeCell ref="Z48:AE48"/>
    <mergeCell ref="Z49:AE49"/>
    <mergeCell ref="Z50:AE50"/>
    <mergeCell ref="Z51:AE51"/>
    <mergeCell ref="Z52:AE52"/>
    <mergeCell ref="Z53:AE53"/>
    <mergeCell ref="Z54:AE54"/>
    <mergeCell ref="Z55:AE55"/>
    <mergeCell ref="Z56:AE56"/>
    <mergeCell ref="Z57:AE57"/>
    <mergeCell ref="Z294:AE294"/>
    <mergeCell ref="Z295:AE295"/>
    <mergeCell ref="Z296:AE296"/>
    <mergeCell ref="Z297:AE297"/>
    <mergeCell ref="Z298:AE298"/>
    <mergeCell ref="Z299:AE299"/>
    <mergeCell ref="Z279:AE279"/>
    <mergeCell ref="Z280:AE280"/>
    <mergeCell ref="Z281:AE281"/>
    <mergeCell ref="Z282:AE282"/>
    <mergeCell ref="Z283:AE283"/>
    <mergeCell ref="Z284:AE284"/>
    <mergeCell ref="Z354:AE354"/>
    <mergeCell ref="Z355:AE355"/>
    <mergeCell ref="Z356:AE356"/>
    <mergeCell ref="Z329:AE329"/>
    <mergeCell ref="Z330:AE330"/>
    <mergeCell ref="Z331:AE331"/>
    <mergeCell ref="Z332:AE332"/>
    <mergeCell ref="Z333:AE333"/>
    <mergeCell ref="Z334:AE334"/>
    <mergeCell ref="Z335:AE335"/>
    <mergeCell ref="Z336:AE336"/>
    <mergeCell ref="Z337:AE337"/>
    <mergeCell ref="Z320:AE320"/>
    <mergeCell ref="Z321:AE321"/>
    <mergeCell ref="Z322:AE322"/>
    <mergeCell ref="Z323:AE323"/>
    <mergeCell ref="Z324:AE324"/>
    <mergeCell ref="Z325:AE325"/>
    <mergeCell ref="Z974:AE974"/>
    <mergeCell ref="Z345:AE345"/>
    <mergeCell ref="Z346:AE346"/>
    <mergeCell ref="Z347:AE347"/>
    <mergeCell ref="Z348:AE348"/>
    <mergeCell ref="Z349:AE349"/>
    <mergeCell ref="Z350:AE350"/>
    <mergeCell ref="Z351:AE351"/>
    <mergeCell ref="Z338:AE338"/>
    <mergeCell ref="Z339:AE339"/>
    <mergeCell ref="Z340:AE340"/>
    <mergeCell ref="Z341:AE341"/>
    <mergeCell ref="Z342:AE342"/>
    <mergeCell ref="Z343:AE343"/>
    <mergeCell ref="Z344:AE344"/>
    <mergeCell ref="Z352:AE352"/>
    <mergeCell ref="Z353:AE353"/>
    <mergeCell ref="Z326:AE326"/>
    <mergeCell ref="Z327:AE327"/>
    <mergeCell ref="Z328:AE328"/>
    <mergeCell ref="Z311:AE311"/>
    <mergeCell ref="Z312:AE312"/>
    <mergeCell ref="Z313:AE313"/>
    <mergeCell ref="Z314:AE314"/>
    <mergeCell ref="Z315:AE315"/>
    <mergeCell ref="Z316:AE316"/>
    <mergeCell ref="Z317:AE317"/>
    <mergeCell ref="Z318:AE318"/>
    <mergeCell ref="Z319:AE319"/>
    <mergeCell ref="Z253:AE253"/>
    <mergeCell ref="Z254:AE254"/>
    <mergeCell ref="Z255:AE255"/>
    <mergeCell ref="Z256:AE256"/>
    <mergeCell ref="Z257:AE257"/>
    <mergeCell ref="Z258:AE258"/>
    <mergeCell ref="Z259:AE259"/>
    <mergeCell ref="Z260:AE260"/>
    <mergeCell ref="Z310:AE310"/>
    <mergeCell ref="Z261:AE261"/>
    <mergeCell ref="Z262:AE262"/>
    <mergeCell ref="Z263:AE263"/>
    <mergeCell ref="Z264:AE264"/>
    <mergeCell ref="Z265:AE265"/>
    <mergeCell ref="Z266:AE266"/>
    <mergeCell ref="Z267:AE267"/>
    <mergeCell ref="Z268:AE268"/>
    <mergeCell ref="Z269:AE269"/>
    <mergeCell ref="Z270:AE270"/>
    <mergeCell ref="Z271:AE271"/>
    <mergeCell ref="Z272:AE272"/>
    <mergeCell ref="Z273:AE273"/>
    <mergeCell ref="Z274:AE274"/>
    <mergeCell ref="Z275:AE275"/>
    <mergeCell ref="Z244:AE244"/>
    <mergeCell ref="Z245:AE245"/>
    <mergeCell ref="Z246:AE246"/>
    <mergeCell ref="Z247:AE247"/>
    <mergeCell ref="Z248:AE248"/>
    <mergeCell ref="Z249:AE249"/>
    <mergeCell ref="Z250:AE250"/>
    <mergeCell ref="Z251:AE251"/>
    <mergeCell ref="Z252:AE252"/>
    <mergeCell ref="Z235:AE235"/>
    <mergeCell ref="Z236:AE236"/>
    <mergeCell ref="Z237:AE237"/>
    <mergeCell ref="Z238:AE238"/>
    <mergeCell ref="Z239:AE239"/>
    <mergeCell ref="Z240:AE240"/>
    <mergeCell ref="Z241:AE241"/>
    <mergeCell ref="Z242:AE242"/>
    <mergeCell ref="Z243:AE243"/>
    <mergeCell ref="Z226:AE226"/>
    <mergeCell ref="Z227:AE227"/>
    <mergeCell ref="Z228:AE228"/>
    <mergeCell ref="Z229:AE229"/>
    <mergeCell ref="Z230:AE230"/>
    <mergeCell ref="Z231:AE231"/>
    <mergeCell ref="Z232:AE232"/>
    <mergeCell ref="Z233:AE233"/>
    <mergeCell ref="Z234:AE234"/>
    <mergeCell ref="Z217:AE217"/>
    <mergeCell ref="Z218:AE218"/>
    <mergeCell ref="Z219:AE219"/>
    <mergeCell ref="Z220:AE220"/>
    <mergeCell ref="Z221:AE221"/>
    <mergeCell ref="Z222:AE222"/>
    <mergeCell ref="Z223:AE223"/>
    <mergeCell ref="Z224:AE224"/>
    <mergeCell ref="Z225:AE225"/>
    <mergeCell ref="Z208:AE208"/>
    <mergeCell ref="Z209:AE209"/>
    <mergeCell ref="Z210:AE210"/>
    <mergeCell ref="Z211:AE211"/>
    <mergeCell ref="Z212:AE212"/>
    <mergeCell ref="Z213:AE213"/>
    <mergeCell ref="Z214:AE214"/>
    <mergeCell ref="Z215:AE215"/>
    <mergeCell ref="Z216:AE216"/>
    <mergeCell ref="Z199:AE199"/>
    <mergeCell ref="Z200:AE200"/>
    <mergeCell ref="Z201:AE201"/>
    <mergeCell ref="Z202:AE202"/>
    <mergeCell ref="Z203:AE203"/>
    <mergeCell ref="Z204:AE204"/>
    <mergeCell ref="Z205:AE205"/>
    <mergeCell ref="Z206:AE206"/>
    <mergeCell ref="Z207:AE207"/>
    <mergeCell ref="Z190:AE190"/>
    <mergeCell ref="Z191:AE191"/>
    <mergeCell ref="Z192:AE192"/>
    <mergeCell ref="Z193:AE193"/>
    <mergeCell ref="Z194:AE194"/>
    <mergeCell ref="Z195:AE195"/>
    <mergeCell ref="Z196:AE196"/>
    <mergeCell ref="Z197:AE197"/>
    <mergeCell ref="Z198:AE198"/>
    <mergeCell ref="Z181:AE181"/>
    <mergeCell ref="Z182:AE182"/>
    <mergeCell ref="Z183:AE183"/>
    <mergeCell ref="Z184:AE184"/>
    <mergeCell ref="Z185:AE185"/>
    <mergeCell ref="Z186:AE186"/>
    <mergeCell ref="Z187:AE187"/>
    <mergeCell ref="Z188:AE188"/>
    <mergeCell ref="Z189:AE189"/>
    <mergeCell ref="Z172:AE172"/>
    <mergeCell ref="Z173:AE173"/>
    <mergeCell ref="Z174:AE174"/>
    <mergeCell ref="Z175:AE175"/>
    <mergeCell ref="Z176:AE176"/>
    <mergeCell ref="Z177:AE177"/>
    <mergeCell ref="Z178:AE178"/>
    <mergeCell ref="Z179:AE179"/>
    <mergeCell ref="Z180:AE180"/>
    <mergeCell ref="U163:V163"/>
    <mergeCell ref="Z163:AE164"/>
    <mergeCell ref="Z165:AE165"/>
    <mergeCell ref="Z166:AE166"/>
    <mergeCell ref="Z167:AE167"/>
    <mergeCell ref="Z168:AE168"/>
    <mergeCell ref="Z169:AE169"/>
    <mergeCell ref="Z170:AE170"/>
    <mergeCell ref="Z171:AE171"/>
  </mergeCells>
  <phoneticPr fontId="35" type="noConversion"/>
  <conditionalFormatting sqref="E5:E974">
    <cfRule type="notContainsBlanks" dxfId="1" priority="1">
      <formula>LEN(TRIM(E5))&gt;0</formula>
    </cfRule>
  </conditionalFormatting>
  <hyperlinks>
    <hyperlink ref="P68" r:id="rId1" xr:uid="{00000000-0004-0000-0000-000000000000}"/>
    <hyperlink ref="P80" r:id="rId2" xr:uid="{00000000-0004-0000-0000-000001000000}"/>
    <hyperlink ref="P262" r:id="rId3" xr:uid="{00000000-0004-0000-0000-000002000000}"/>
    <hyperlink ref="P263" r:id="rId4" xr:uid="{00000000-0004-0000-0000-000003000000}"/>
  </hyperlinks>
  <printOptions horizontalCentered="1" gridLines="1"/>
  <pageMargins left="0.7" right="0.7" top="0.75" bottom="0.75" header="0" footer="0"/>
  <pageSetup paperSize="9" pageOrder="overThenDown" orientation="portrait" cellComments="atEnd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1"/>
  <sheetViews>
    <sheetView tabSelected="1" workbookViewId="0">
      <pane ySplit="1" topLeftCell="A162" activePane="bottomLeft" state="frozen"/>
      <selection pane="bottomLeft" activeCell="K171" sqref="K171"/>
    </sheetView>
  </sheetViews>
  <sheetFormatPr defaultColWidth="14.44140625" defaultRowHeight="15" customHeight="1" x14ac:dyDescent="0.3"/>
  <cols>
    <col min="1" max="1" width="8.109375" customWidth="1"/>
    <col min="3" max="3" width="31.5546875" customWidth="1"/>
    <col min="11" max="11" width="11.44140625" customWidth="1"/>
  </cols>
  <sheetData>
    <row r="1" spans="1:11" ht="24" x14ac:dyDescent="0.3">
      <c r="A1" s="111"/>
      <c r="B1" s="182" t="s">
        <v>3486</v>
      </c>
      <c r="C1" s="183" t="s">
        <v>3485</v>
      </c>
      <c r="D1" s="182" t="s">
        <v>3488</v>
      </c>
      <c r="E1" s="112" t="s">
        <v>6</v>
      </c>
      <c r="F1" s="112" t="s">
        <v>1845</v>
      </c>
      <c r="G1" s="112" t="s">
        <v>8</v>
      </c>
      <c r="H1" s="112" t="s">
        <v>12</v>
      </c>
      <c r="I1" s="112" t="s">
        <v>3</v>
      </c>
      <c r="J1" s="112" t="s">
        <v>13</v>
      </c>
      <c r="K1" s="113" t="s">
        <v>20</v>
      </c>
    </row>
    <row r="2" spans="1:11" ht="13.8" hidden="1" x14ac:dyDescent="0.3">
      <c r="A2" s="20">
        <v>1</v>
      </c>
      <c r="B2" s="20" t="s">
        <v>3010</v>
      </c>
      <c r="C2" s="16"/>
      <c r="D2" s="16" t="s">
        <v>3011</v>
      </c>
      <c r="E2" s="18" t="s">
        <v>3012</v>
      </c>
      <c r="F2" s="18" t="s">
        <v>3013</v>
      </c>
      <c r="G2" s="18" t="s">
        <v>3014</v>
      </c>
      <c r="H2" s="18" t="s">
        <v>51</v>
      </c>
      <c r="I2" s="18">
        <v>10</v>
      </c>
      <c r="J2" s="18" t="s">
        <v>3015</v>
      </c>
      <c r="K2" s="103" t="s">
        <v>3414</v>
      </c>
    </row>
    <row r="3" spans="1:11" ht="13.8" hidden="1" x14ac:dyDescent="0.3">
      <c r="A3" s="20">
        <v>2</v>
      </c>
      <c r="B3" s="20" t="s">
        <v>3010</v>
      </c>
      <c r="C3" s="16"/>
      <c r="D3" s="16" t="s">
        <v>3011</v>
      </c>
      <c r="E3" s="20" t="s">
        <v>3016</v>
      </c>
      <c r="F3" s="18" t="s">
        <v>3017</v>
      </c>
      <c r="G3" s="18" t="s">
        <v>3018</v>
      </c>
      <c r="H3" s="18" t="s">
        <v>34</v>
      </c>
      <c r="I3" s="18">
        <v>10</v>
      </c>
      <c r="J3" s="18" t="s">
        <v>3019</v>
      </c>
      <c r="K3" s="22"/>
    </row>
    <row r="4" spans="1:11" ht="91.2" hidden="1" x14ac:dyDescent="0.3">
      <c r="A4" s="20">
        <v>3</v>
      </c>
      <c r="B4" s="20" t="s">
        <v>3010</v>
      </c>
      <c r="C4" s="16"/>
      <c r="D4" s="16" t="s">
        <v>3011</v>
      </c>
      <c r="E4" s="20" t="s">
        <v>3020</v>
      </c>
      <c r="F4" s="18" t="s">
        <v>3020</v>
      </c>
      <c r="G4" s="18" t="s">
        <v>1001</v>
      </c>
      <c r="H4" s="18" t="s">
        <v>34</v>
      </c>
      <c r="I4" s="18">
        <v>9</v>
      </c>
      <c r="J4" s="18" t="s">
        <v>3021</v>
      </c>
      <c r="K4" s="22" t="s">
        <v>3022</v>
      </c>
    </row>
    <row r="5" spans="1:11" ht="22.8" hidden="1" x14ac:dyDescent="0.3">
      <c r="A5" s="20">
        <v>4</v>
      </c>
      <c r="B5" s="20" t="s">
        <v>3010</v>
      </c>
      <c r="C5" s="16"/>
      <c r="D5" s="16" t="s">
        <v>3011</v>
      </c>
      <c r="E5" s="20" t="s">
        <v>3023</v>
      </c>
      <c r="F5" s="39" t="s">
        <v>3024</v>
      </c>
      <c r="G5" s="18" t="s">
        <v>3025</v>
      </c>
      <c r="H5" s="18" t="s">
        <v>34</v>
      </c>
      <c r="I5" s="18">
        <v>9</v>
      </c>
      <c r="J5" s="18" t="s">
        <v>3026</v>
      </c>
      <c r="K5" s="22" t="s">
        <v>1062</v>
      </c>
    </row>
    <row r="6" spans="1:11" ht="13.8" hidden="1" x14ac:dyDescent="0.3">
      <c r="A6" s="20">
        <v>5</v>
      </c>
      <c r="B6" s="20" t="s">
        <v>3010</v>
      </c>
      <c r="C6" s="16"/>
      <c r="D6" s="16" t="s">
        <v>3011</v>
      </c>
      <c r="E6" s="18" t="s">
        <v>3027</v>
      </c>
      <c r="F6" s="18" t="s">
        <v>3028</v>
      </c>
      <c r="G6" s="18" t="s">
        <v>3029</v>
      </c>
      <c r="H6" s="18" t="s">
        <v>34</v>
      </c>
      <c r="I6" s="18">
        <v>9</v>
      </c>
      <c r="J6" s="18" t="s">
        <v>3030</v>
      </c>
      <c r="K6" s="22" t="s">
        <v>3436</v>
      </c>
    </row>
    <row r="7" spans="1:11" ht="22.8" hidden="1" x14ac:dyDescent="0.3">
      <c r="A7" s="20">
        <v>6</v>
      </c>
      <c r="B7" s="20" t="s">
        <v>3010</v>
      </c>
      <c r="C7" s="16"/>
      <c r="D7" s="16" t="s">
        <v>3011</v>
      </c>
      <c r="E7" s="20" t="s">
        <v>3031</v>
      </c>
      <c r="F7" s="18" t="s">
        <v>3032</v>
      </c>
      <c r="G7" s="18" t="s">
        <v>3033</v>
      </c>
      <c r="H7" s="18" t="s">
        <v>34</v>
      </c>
      <c r="I7" s="18">
        <v>8</v>
      </c>
      <c r="J7" s="18" t="s">
        <v>3034</v>
      </c>
      <c r="K7" s="22" t="s">
        <v>3000</v>
      </c>
    </row>
    <row r="8" spans="1:11" ht="57" hidden="1" x14ac:dyDescent="0.3">
      <c r="A8" s="20">
        <v>7</v>
      </c>
      <c r="B8" s="20" t="s">
        <v>3010</v>
      </c>
      <c r="C8" s="16"/>
      <c r="D8" s="16" t="s">
        <v>3035</v>
      </c>
      <c r="E8" s="18" t="s">
        <v>3036</v>
      </c>
      <c r="F8" s="18" t="s">
        <v>3037</v>
      </c>
      <c r="G8" s="18" t="s">
        <v>388</v>
      </c>
      <c r="H8" s="18" t="s">
        <v>34</v>
      </c>
      <c r="I8" s="18">
        <v>8</v>
      </c>
      <c r="J8" s="18" t="s">
        <v>3038</v>
      </c>
      <c r="K8" s="22" t="s">
        <v>3437</v>
      </c>
    </row>
    <row r="9" spans="1:11" ht="13.8" hidden="1" x14ac:dyDescent="0.3">
      <c r="A9" s="20">
        <v>8</v>
      </c>
      <c r="B9" s="20" t="s">
        <v>3010</v>
      </c>
      <c r="C9" s="16"/>
      <c r="D9" s="16" t="s">
        <v>3011</v>
      </c>
      <c r="E9" s="39" t="s">
        <v>3039</v>
      </c>
      <c r="F9" s="39" t="s">
        <v>3040</v>
      </c>
      <c r="G9" s="39" t="s">
        <v>3041</v>
      </c>
      <c r="H9" s="39" t="s">
        <v>34</v>
      </c>
      <c r="I9" s="39">
        <v>8</v>
      </c>
      <c r="J9" s="39" t="s">
        <v>3042</v>
      </c>
      <c r="K9" s="106" t="s">
        <v>3438</v>
      </c>
    </row>
    <row r="10" spans="1:11" ht="34.200000000000003" hidden="1" x14ac:dyDescent="0.3">
      <c r="A10" s="20">
        <v>9</v>
      </c>
      <c r="B10" s="20" t="s">
        <v>3010</v>
      </c>
      <c r="C10" s="16"/>
      <c r="D10" s="16" t="s">
        <v>3043</v>
      </c>
      <c r="E10" s="20" t="s">
        <v>3044</v>
      </c>
      <c r="F10" s="18" t="s">
        <v>3045</v>
      </c>
      <c r="G10" s="18" t="s">
        <v>3046</v>
      </c>
      <c r="H10" s="18" t="s">
        <v>34</v>
      </c>
      <c r="I10" s="18">
        <v>8</v>
      </c>
      <c r="J10" s="18" t="s">
        <v>3047</v>
      </c>
      <c r="K10" s="22" t="s">
        <v>3048</v>
      </c>
    </row>
    <row r="11" spans="1:11" ht="13.8" hidden="1" x14ac:dyDescent="0.3">
      <c r="A11" s="20">
        <v>10</v>
      </c>
      <c r="B11" s="20" t="s">
        <v>3010</v>
      </c>
      <c r="C11" s="115"/>
      <c r="D11" s="115" t="s">
        <v>3049</v>
      </c>
      <c r="E11" s="18" t="s">
        <v>3050</v>
      </c>
      <c r="F11" s="39" t="s">
        <v>3051</v>
      </c>
      <c r="G11" s="18" t="s">
        <v>3009</v>
      </c>
      <c r="H11" s="18" t="s">
        <v>34</v>
      </c>
      <c r="I11" s="18">
        <v>7</v>
      </c>
      <c r="J11" s="18" t="s">
        <v>3052</v>
      </c>
      <c r="K11" s="22" t="s">
        <v>3439</v>
      </c>
    </row>
    <row r="12" spans="1:11" ht="22.8" hidden="1" x14ac:dyDescent="0.3">
      <c r="A12" s="20">
        <v>11</v>
      </c>
      <c r="B12" s="20" t="s">
        <v>3010</v>
      </c>
      <c r="C12" s="16"/>
      <c r="D12" s="16" t="s">
        <v>3011</v>
      </c>
      <c r="E12" s="20" t="s">
        <v>3053</v>
      </c>
      <c r="F12" s="18" t="s">
        <v>3054</v>
      </c>
      <c r="G12" s="18" t="s">
        <v>388</v>
      </c>
      <c r="H12" s="18" t="s">
        <v>34</v>
      </c>
      <c r="I12" s="18">
        <v>10</v>
      </c>
      <c r="J12" s="18" t="s">
        <v>3055</v>
      </c>
      <c r="K12" s="22"/>
    </row>
    <row r="13" spans="1:11" ht="22.8" hidden="1" x14ac:dyDescent="0.3">
      <c r="A13" s="20">
        <v>12</v>
      </c>
      <c r="B13" s="20" t="s">
        <v>3010</v>
      </c>
      <c r="C13" s="16"/>
      <c r="D13" s="16" t="s">
        <v>3011</v>
      </c>
      <c r="E13" s="20" t="s">
        <v>3056</v>
      </c>
      <c r="F13" s="39" t="s">
        <v>3057</v>
      </c>
      <c r="G13" s="18" t="s">
        <v>3058</v>
      </c>
      <c r="H13" s="18" t="s">
        <v>34</v>
      </c>
      <c r="I13" s="18">
        <v>9</v>
      </c>
      <c r="J13" s="18" t="s">
        <v>3059</v>
      </c>
      <c r="K13" s="22" t="s">
        <v>3000</v>
      </c>
    </row>
    <row r="14" spans="1:11" ht="13.8" hidden="1" x14ac:dyDescent="0.3">
      <c r="A14" s="20">
        <v>13</v>
      </c>
      <c r="B14" s="20" t="s">
        <v>3010</v>
      </c>
      <c r="C14" s="16"/>
      <c r="D14" s="16" t="s">
        <v>3043</v>
      </c>
      <c r="E14" s="39" t="s">
        <v>3060</v>
      </c>
      <c r="F14" s="39" t="s">
        <v>3061</v>
      </c>
      <c r="G14" s="39" t="s">
        <v>700</v>
      </c>
      <c r="H14" s="39" t="s">
        <v>34</v>
      </c>
      <c r="I14" s="39">
        <v>9</v>
      </c>
      <c r="J14" s="39" t="s">
        <v>3062</v>
      </c>
      <c r="K14" s="106" t="s">
        <v>3440</v>
      </c>
    </row>
    <row r="15" spans="1:11" ht="13.8" hidden="1" x14ac:dyDescent="0.3">
      <c r="A15" s="20">
        <v>14</v>
      </c>
      <c r="B15" s="20" t="s">
        <v>3010</v>
      </c>
      <c r="C15" s="16"/>
      <c r="D15" s="16" t="s">
        <v>3011</v>
      </c>
      <c r="E15" s="39" t="s">
        <v>3063</v>
      </c>
      <c r="F15" s="39" t="s">
        <v>3064</v>
      </c>
      <c r="G15" s="39" t="s">
        <v>734</v>
      </c>
      <c r="H15" s="39" t="s">
        <v>34</v>
      </c>
      <c r="I15" s="39">
        <v>10</v>
      </c>
      <c r="J15" s="39" t="s">
        <v>3065</v>
      </c>
      <c r="K15" s="106" t="s">
        <v>3441</v>
      </c>
    </row>
    <row r="16" spans="1:11" ht="22.8" hidden="1" x14ac:dyDescent="0.3">
      <c r="A16" s="20">
        <v>15</v>
      </c>
      <c r="B16" s="20" t="s">
        <v>3010</v>
      </c>
      <c r="C16" s="16"/>
      <c r="D16" s="16" t="s">
        <v>3043</v>
      </c>
      <c r="E16" s="20" t="s">
        <v>3066</v>
      </c>
      <c r="F16" s="39" t="s">
        <v>3067</v>
      </c>
      <c r="G16" s="18" t="s">
        <v>606</v>
      </c>
      <c r="H16" s="18" t="s">
        <v>51</v>
      </c>
      <c r="I16" s="18">
        <v>11</v>
      </c>
      <c r="J16" s="18" t="s">
        <v>3068</v>
      </c>
      <c r="K16" s="22" t="s">
        <v>3000</v>
      </c>
    </row>
    <row r="17" spans="1:11" ht="13.8" hidden="1" x14ac:dyDescent="0.3">
      <c r="A17" s="20">
        <v>16</v>
      </c>
      <c r="B17" s="20" t="s">
        <v>3010</v>
      </c>
      <c r="C17" s="16"/>
      <c r="D17" s="16" t="s">
        <v>3011</v>
      </c>
      <c r="E17" s="20" t="s">
        <v>3036</v>
      </c>
      <c r="F17" s="20" t="s">
        <v>3037</v>
      </c>
      <c r="G17" s="20" t="s">
        <v>3069</v>
      </c>
      <c r="H17" s="20" t="s">
        <v>34</v>
      </c>
      <c r="I17" s="20">
        <v>9</v>
      </c>
      <c r="J17" s="20" t="s">
        <v>3070</v>
      </c>
      <c r="K17" s="103" t="s">
        <v>3442</v>
      </c>
    </row>
    <row r="18" spans="1:11" ht="57" hidden="1" x14ac:dyDescent="0.3">
      <c r="A18" s="20">
        <v>17</v>
      </c>
      <c r="B18" s="20" t="s">
        <v>3010</v>
      </c>
      <c r="C18" s="16"/>
      <c r="D18" s="16" t="s">
        <v>3043</v>
      </c>
      <c r="E18" s="18" t="s">
        <v>3071</v>
      </c>
      <c r="F18" s="18" t="s">
        <v>3072</v>
      </c>
      <c r="G18" s="18" t="s">
        <v>3073</v>
      </c>
      <c r="H18" s="18" t="s">
        <v>51</v>
      </c>
      <c r="I18" s="18">
        <v>8</v>
      </c>
      <c r="J18" s="18" t="s">
        <v>3074</v>
      </c>
      <c r="K18" s="22" t="s">
        <v>3443</v>
      </c>
    </row>
    <row r="19" spans="1:11" ht="13.8" hidden="1" x14ac:dyDescent="0.3">
      <c r="A19" s="20">
        <v>18</v>
      </c>
      <c r="B19" s="20" t="s">
        <v>3010</v>
      </c>
      <c r="C19" s="16" t="s">
        <v>3075</v>
      </c>
      <c r="D19" s="16" t="s">
        <v>3011</v>
      </c>
      <c r="E19" s="21" t="s">
        <v>3076</v>
      </c>
      <c r="F19" s="21" t="s">
        <v>3077</v>
      </c>
      <c r="G19" s="21" t="s">
        <v>3078</v>
      </c>
      <c r="H19" s="21" t="s">
        <v>34</v>
      </c>
      <c r="I19" s="21">
        <v>3</v>
      </c>
      <c r="J19" s="21" t="s">
        <v>3079</v>
      </c>
      <c r="K19" s="102" t="s">
        <v>3444</v>
      </c>
    </row>
    <row r="20" spans="1:11" ht="13.8" hidden="1" x14ac:dyDescent="0.3">
      <c r="A20" s="20">
        <v>19</v>
      </c>
      <c r="B20" s="20" t="s">
        <v>3010</v>
      </c>
      <c r="C20" s="16" t="s">
        <v>2999</v>
      </c>
      <c r="D20" s="16" t="s">
        <v>3043</v>
      </c>
      <c r="E20" s="21" t="s">
        <v>1872</v>
      </c>
      <c r="F20" s="21" t="s">
        <v>1873</v>
      </c>
      <c r="G20" s="21" t="s">
        <v>734</v>
      </c>
      <c r="H20" s="21" t="s">
        <v>34</v>
      </c>
      <c r="I20" s="21">
        <v>2</v>
      </c>
      <c r="J20" s="21" t="s">
        <v>1875</v>
      </c>
      <c r="K20" s="102" t="s">
        <v>3445</v>
      </c>
    </row>
    <row r="21" spans="1:11" ht="13.8" hidden="1" x14ac:dyDescent="0.3">
      <c r="A21" s="20">
        <v>20</v>
      </c>
      <c r="B21" s="20" t="s">
        <v>3010</v>
      </c>
      <c r="C21" s="16" t="s">
        <v>2999</v>
      </c>
      <c r="D21" s="16" t="s">
        <v>3043</v>
      </c>
      <c r="E21" s="21" t="s">
        <v>1857</v>
      </c>
      <c r="F21" s="21" t="s">
        <v>1858</v>
      </c>
      <c r="G21" s="21" t="s">
        <v>1859</v>
      </c>
      <c r="H21" s="21" t="s">
        <v>34</v>
      </c>
      <c r="I21" s="21">
        <v>4</v>
      </c>
      <c r="J21" s="21" t="s">
        <v>1863</v>
      </c>
      <c r="K21" s="102" t="s">
        <v>3445</v>
      </c>
    </row>
    <row r="22" spans="1:11" ht="13.8" hidden="1" x14ac:dyDescent="0.3">
      <c r="A22" s="20">
        <v>21</v>
      </c>
      <c r="B22" s="20" t="s">
        <v>3010</v>
      </c>
      <c r="C22" s="16"/>
      <c r="D22" s="16" t="s">
        <v>3011</v>
      </c>
      <c r="E22" s="21" t="s">
        <v>1938</v>
      </c>
      <c r="F22" s="21" t="s">
        <v>1939</v>
      </c>
      <c r="G22" s="21" t="s">
        <v>1940</v>
      </c>
      <c r="H22" s="21" t="s">
        <v>34</v>
      </c>
      <c r="I22" s="21">
        <v>8</v>
      </c>
      <c r="J22" s="21" t="s">
        <v>3080</v>
      </c>
      <c r="K22" s="102" t="s">
        <v>1922</v>
      </c>
    </row>
    <row r="23" spans="1:11" ht="8.25" hidden="1" customHeight="1" x14ac:dyDescent="0.3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</row>
    <row r="24" spans="1:11" ht="13.8" hidden="1" x14ac:dyDescent="0.3">
      <c r="A24" s="20">
        <v>1</v>
      </c>
      <c r="B24" s="20" t="s">
        <v>3081</v>
      </c>
      <c r="C24" s="16" t="s">
        <v>3082</v>
      </c>
      <c r="D24" s="16" t="s">
        <v>3011</v>
      </c>
      <c r="E24" s="18" t="s">
        <v>3083</v>
      </c>
      <c r="F24" s="101" t="s">
        <v>3084</v>
      </c>
      <c r="G24" s="108" t="s">
        <v>373</v>
      </c>
      <c r="H24" s="108" t="s">
        <v>34</v>
      </c>
      <c r="I24" s="108">
        <v>1</v>
      </c>
      <c r="J24" s="108" t="s">
        <v>3085</v>
      </c>
      <c r="K24" s="103" t="s">
        <v>3433</v>
      </c>
    </row>
    <row r="25" spans="1:11" ht="57" hidden="1" x14ac:dyDescent="0.3">
      <c r="A25" s="20">
        <v>2</v>
      </c>
      <c r="B25" s="20" t="s">
        <v>3081</v>
      </c>
      <c r="C25" s="16"/>
      <c r="D25" s="16" t="s">
        <v>3011</v>
      </c>
      <c r="E25" s="18" t="s">
        <v>3036</v>
      </c>
      <c r="F25" s="18" t="s">
        <v>3037</v>
      </c>
      <c r="G25" s="18" t="s">
        <v>388</v>
      </c>
      <c r="H25" s="18" t="s">
        <v>34</v>
      </c>
      <c r="I25" s="18">
        <v>8</v>
      </c>
      <c r="J25" s="18" t="s">
        <v>3038</v>
      </c>
      <c r="K25" s="22" t="s">
        <v>3437</v>
      </c>
    </row>
    <row r="26" spans="1:11" ht="13.8" hidden="1" x14ac:dyDescent="0.3">
      <c r="A26" s="20">
        <v>3</v>
      </c>
      <c r="B26" s="20" t="s">
        <v>3081</v>
      </c>
      <c r="C26" s="16"/>
      <c r="D26" s="16" t="s">
        <v>3011</v>
      </c>
      <c r="E26" s="18" t="s">
        <v>3086</v>
      </c>
      <c r="F26" s="18" t="s">
        <v>3087</v>
      </c>
      <c r="G26" s="18" t="s">
        <v>388</v>
      </c>
      <c r="H26" s="18" t="s">
        <v>34</v>
      </c>
      <c r="I26" s="18">
        <v>8</v>
      </c>
      <c r="J26" s="18" t="s">
        <v>3088</v>
      </c>
      <c r="K26" s="22" t="s">
        <v>3446</v>
      </c>
    </row>
    <row r="27" spans="1:11" ht="13.8" hidden="1" x14ac:dyDescent="0.3">
      <c r="A27" s="20">
        <v>4</v>
      </c>
      <c r="B27" s="20" t="s">
        <v>3081</v>
      </c>
      <c r="C27" s="16" t="s">
        <v>3089</v>
      </c>
      <c r="D27" s="16" t="s">
        <v>3011</v>
      </c>
      <c r="E27" s="39" t="s">
        <v>3090</v>
      </c>
      <c r="F27" s="18" t="s">
        <v>3091</v>
      </c>
      <c r="G27" s="18" t="s">
        <v>3092</v>
      </c>
      <c r="H27" s="18" t="s">
        <v>51</v>
      </c>
      <c r="I27" s="18">
        <v>4</v>
      </c>
      <c r="J27" s="18" t="s">
        <v>3093</v>
      </c>
      <c r="K27" s="22" t="s">
        <v>3447</v>
      </c>
    </row>
    <row r="28" spans="1:11" ht="22.8" hidden="1" x14ac:dyDescent="0.3">
      <c r="A28" s="20">
        <v>5</v>
      </c>
      <c r="B28" s="20" t="s">
        <v>3081</v>
      </c>
      <c r="C28" s="16" t="s">
        <v>3094</v>
      </c>
      <c r="D28" s="16" t="s">
        <v>3011</v>
      </c>
      <c r="E28" s="20" t="s">
        <v>3095</v>
      </c>
      <c r="F28" s="18" t="s">
        <v>3096</v>
      </c>
      <c r="G28" s="18" t="s">
        <v>3097</v>
      </c>
      <c r="H28" s="18" t="s">
        <v>34</v>
      </c>
      <c r="I28" s="18">
        <v>5</v>
      </c>
      <c r="J28" s="18" t="s">
        <v>3098</v>
      </c>
      <c r="K28" s="106" t="s">
        <v>3099</v>
      </c>
    </row>
    <row r="29" spans="1:11" ht="13.8" hidden="1" x14ac:dyDescent="0.3">
      <c r="A29" s="20">
        <v>6</v>
      </c>
      <c r="B29" s="20" t="s">
        <v>3081</v>
      </c>
      <c r="C29" s="16" t="s">
        <v>3100</v>
      </c>
      <c r="D29" s="16" t="s">
        <v>3011</v>
      </c>
      <c r="E29" s="101" t="s">
        <v>3101</v>
      </c>
      <c r="F29" s="39" t="s">
        <v>3102</v>
      </c>
      <c r="G29" s="39" t="s">
        <v>3103</v>
      </c>
      <c r="H29" s="39" t="s">
        <v>51</v>
      </c>
      <c r="I29" s="39">
        <v>5</v>
      </c>
      <c r="J29" s="39" t="s">
        <v>3104</v>
      </c>
      <c r="K29" s="22" t="s">
        <v>3448</v>
      </c>
    </row>
    <row r="30" spans="1:11" ht="13.8" hidden="1" x14ac:dyDescent="0.3">
      <c r="A30" s="20">
        <v>7</v>
      </c>
      <c r="B30" s="20" t="s">
        <v>3081</v>
      </c>
      <c r="C30" s="16" t="s">
        <v>3105</v>
      </c>
      <c r="D30" s="16" t="s">
        <v>3011</v>
      </c>
      <c r="E30" s="20" t="s">
        <v>1063</v>
      </c>
      <c r="F30" s="18" t="s">
        <v>1064</v>
      </c>
      <c r="G30" s="18" t="s">
        <v>1752</v>
      </c>
      <c r="H30" s="18" t="s">
        <v>34</v>
      </c>
      <c r="I30" s="18">
        <v>5</v>
      </c>
      <c r="J30" s="18" t="s">
        <v>1334</v>
      </c>
      <c r="K30" s="22" t="s">
        <v>3449</v>
      </c>
    </row>
    <row r="31" spans="1:11" ht="13.8" hidden="1" x14ac:dyDescent="0.3">
      <c r="A31" s="20">
        <v>8</v>
      </c>
      <c r="B31" s="20" t="s">
        <v>3081</v>
      </c>
      <c r="C31" s="16"/>
      <c r="D31" s="16" t="s">
        <v>3011</v>
      </c>
      <c r="E31" s="18" t="s">
        <v>3106</v>
      </c>
      <c r="F31" s="18" t="s">
        <v>3107</v>
      </c>
      <c r="G31" s="18" t="s">
        <v>1568</v>
      </c>
      <c r="H31" s="18" t="s">
        <v>34</v>
      </c>
      <c r="I31" s="18">
        <v>10</v>
      </c>
      <c r="J31" s="18" t="s">
        <v>2990</v>
      </c>
      <c r="K31" s="103" t="s">
        <v>3450</v>
      </c>
    </row>
    <row r="32" spans="1:11" ht="22.8" hidden="1" x14ac:dyDescent="0.3">
      <c r="A32" s="20">
        <v>9</v>
      </c>
      <c r="B32" s="20" t="s">
        <v>3081</v>
      </c>
      <c r="C32" s="16"/>
      <c r="D32" s="16" t="s">
        <v>3011</v>
      </c>
      <c r="E32" s="20" t="s">
        <v>2981</v>
      </c>
      <c r="F32" s="18" t="s">
        <v>3108</v>
      </c>
      <c r="G32" s="18" t="s">
        <v>231</v>
      </c>
      <c r="H32" s="18" t="s">
        <v>34</v>
      </c>
      <c r="I32" s="39">
        <v>8</v>
      </c>
      <c r="J32" s="18" t="s">
        <v>2984</v>
      </c>
      <c r="K32" s="22" t="s">
        <v>3109</v>
      </c>
    </row>
    <row r="33" spans="1:11" ht="13.8" hidden="1" x14ac:dyDescent="0.3">
      <c r="A33" s="20">
        <v>10</v>
      </c>
      <c r="B33" s="20" t="s">
        <v>3081</v>
      </c>
      <c r="C33" s="16"/>
      <c r="D33" s="16" t="s">
        <v>3011</v>
      </c>
      <c r="E33" s="39" t="s">
        <v>1966</v>
      </c>
      <c r="F33" s="21" t="s">
        <v>1967</v>
      </c>
      <c r="G33" s="21" t="s">
        <v>1968</v>
      </c>
      <c r="H33" s="21" t="s">
        <v>34</v>
      </c>
      <c r="I33" s="21">
        <v>8</v>
      </c>
      <c r="J33" s="21" t="s">
        <v>1972</v>
      </c>
      <c r="K33" s="102"/>
    </row>
    <row r="34" spans="1:11" ht="13.8" hidden="1" x14ac:dyDescent="0.3">
      <c r="A34" s="20">
        <v>11</v>
      </c>
      <c r="B34" s="20" t="s">
        <v>3081</v>
      </c>
      <c r="C34" s="16"/>
      <c r="D34" s="16" t="s">
        <v>3011</v>
      </c>
      <c r="E34" s="39" t="s">
        <v>3110</v>
      </c>
      <c r="F34" s="21" t="s">
        <v>3111</v>
      </c>
      <c r="G34" s="21" t="s">
        <v>3112</v>
      </c>
      <c r="H34" s="21" t="s">
        <v>51</v>
      </c>
      <c r="I34" s="21">
        <v>9</v>
      </c>
      <c r="J34" s="21" t="s">
        <v>3113</v>
      </c>
      <c r="K34" s="102" t="s">
        <v>3451</v>
      </c>
    </row>
    <row r="35" spans="1:11" ht="13.8" hidden="1" x14ac:dyDescent="0.3">
      <c r="A35" s="20">
        <v>12</v>
      </c>
      <c r="B35" s="20" t="s">
        <v>3081</v>
      </c>
      <c r="C35" s="16" t="s">
        <v>3114</v>
      </c>
      <c r="D35" s="16" t="s">
        <v>3011</v>
      </c>
      <c r="E35" s="20" t="s">
        <v>3115</v>
      </c>
      <c r="F35" s="18" t="s">
        <v>3116</v>
      </c>
      <c r="G35" s="18" t="s">
        <v>2545</v>
      </c>
      <c r="H35" s="18" t="s">
        <v>34</v>
      </c>
      <c r="I35" s="18">
        <v>3</v>
      </c>
      <c r="J35" s="18" t="s">
        <v>3117</v>
      </c>
      <c r="K35" s="22" t="s">
        <v>3452</v>
      </c>
    </row>
    <row r="36" spans="1:11" ht="22.8" hidden="1" x14ac:dyDescent="0.3">
      <c r="A36" s="20">
        <v>13</v>
      </c>
      <c r="B36" s="20" t="s">
        <v>3081</v>
      </c>
      <c r="C36" s="16" t="s">
        <v>3114</v>
      </c>
      <c r="D36" s="16" t="s">
        <v>3011</v>
      </c>
      <c r="E36" s="18" t="s">
        <v>1951</v>
      </c>
      <c r="F36" s="18" t="s">
        <v>1952</v>
      </c>
      <c r="G36" s="18" t="s">
        <v>204</v>
      </c>
      <c r="H36" s="18" t="s">
        <v>51</v>
      </c>
      <c r="I36" s="18">
        <v>1</v>
      </c>
      <c r="J36" s="18" t="s">
        <v>1956</v>
      </c>
      <c r="K36" s="102" t="s">
        <v>3453</v>
      </c>
    </row>
    <row r="37" spans="1:11" ht="22.8" hidden="1" x14ac:dyDescent="0.3">
      <c r="A37" s="20">
        <v>14</v>
      </c>
      <c r="B37" s="20" t="s">
        <v>3081</v>
      </c>
      <c r="C37" s="16"/>
      <c r="D37" s="16" t="s">
        <v>3011</v>
      </c>
      <c r="E37" s="20" t="s">
        <v>3118</v>
      </c>
      <c r="F37" s="18" t="s">
        <v>3119</v>
      </c>
      <c r="G37" s="18" t="s">
        <v>3003</v>
      </c>
      <c r="H37" s="18" t="s">
        <v>51</v>
      </c>
      <c r="I37" s="18">
        <v>7</v>
      </c>
      <c r="J37" s="18" t="s">
        <v>3120</v>
      </c>
      <c r="K37" s="22" t="s">
        <v>1296</v>
      </c>
    </row>
    <row r="38" spans="1:11" ht="13.8" hidden="1" x14ac:dyDescent="0.3">
      <c r="A38" s="20">
        <v>15</v>
      </c>
      <c r="B38" s="20" t="s">
        <v>3081</v>
      </c>
      <c r="C38" s="16" t="s">
        <v>3121</v>
      </c>
      <c r="D38" s="16" t="s">
        <v>3011</v>
      </c>
      <c r="E38" s="20" t="s">
        <v>2058</v>
      </c>
      <c r="F38" s="18" t="s">
        <v>2059</v>
      </c>
      <c r="G38" s="18" t="s">
        <v>2060</v>
      </c>
      <c r="H38" s="18" t="s">
        <v>34</v>
      </c>
      <c r="I38" s="18">
        <v>3</v>
      </c>
      <c r="J38" s="18" t="s">
        <v>2063</v>
      </c>
      <c r="K38" s="22" t="s">
        <v>3382</v>
      </c>
    </row>
    <row r="39" spans="1:11" ht="22.8" hidden="1" x14ac:dyDescent="0.3">
      <c r="A39" s="20">
        <v>16</v>
      </c>
      <c r="B39" s="20" t="s">
        <v>3081</v>
      </c>
      <c r="C39" s="52"/>
      <c r="D39" s="52" t="s">
        <v>3011</v>
      </c>
      <c r="E39" s="20" t="s">
        <v>3122</v>
      </c>
      <c r="F39" s="18" t="s">
        <v>3123</v>
      </c>
      <c r="G39" s="18" t="s">
        <v>3124</v>
      </c>
      <c r="H39" s="18" t="s">
        <v>51</v>
      </c>
      <c r="I39" s="18">
        <v>9</v>
      </c>
      <c r="J39" s="18" t="s">
        <v>3125</v>
      </c>
      <c r="K39" s="22" t="s">
        <v>3000</v>
      </c>
    </row>
    <row r="40" spans="1:11" ht="45.6" hidden="1" x14ac:dyDescent="0.3">
      <c r="A40" s="20">
        <v>17</v>
      </c>
      <c r="B40" s="116" t="s">
        <v>3081</v>
      </c>
      <c r="C40" s="52"/>
      <c r="D40" s="52" t="s">
        <v>3011</v>
      </c>
      <c r="E40" s="117" t="s">
        <v>3060</v>
      </c>
      <c r="F40" s="118" t="s">
        <v>3061</v>
      </c>
      <c r="G40" s="118" t="s">
        <v>700</v>
      </c>
      <c r="H40" s="118" t="s">
        <v>34</v>
      </c>
      <c r="I40" s="118">
        <v>9</v>
      </c>
      <c r="J40" s="118" t="s">
        <v>3062</v>
      </c>
      <c r="K40" s="180" t="s">
        <v>3454</v>
      </c>
    </row>
    <row r="41" spans="1:11" ht="13.8" hidden="1" x14ac:dyDescent="0.3">
      <c r="A41" s="20">
        <v>18</v>
      </c>
      <c r="B41" s="116" t="s">
        <v>3081</v>
      </c>
      <c r="C41" s="52" t="s">
        <v>3126</v>
      </c>
      <c r="D41" s="52" t="s">
        <v>3011</v>
      </c>
      <c r="E41" s="20" t="s">
        <v>633</v>
      </c>
      <c r="F41" s="20" t="s">
        <v>3127</v>
      </c>
      <c r="G41" s="20" t="s">
        <v>275</v>
      </c>
      <c r="H41" s="20" t="s">
        <v>51</v>
      </c>
      <c r="I41" s="20">
        <v>1</v>
      </c>
      <c r="J41" s="20" t="s">
        <v>636</v>
      </c>
      <c r="K41" s="103" t="s">
        <v>3455</v>
      </c>
    </row>
    <row r="42" spans="1:11" ht="13.8" hidden="1" x14ac:dyDescent="0.3">
      <c r="A42" s="20">
        <v>19</v>
      </c>
      <c r="B42" s="116" t="s">
        <v>3081</v>
      </c>
      <c r="C42" s="52" t="s">
        <v>3128</v>
      </c>
      <c r="D42" s="52" t="s">
        <v>3011</v>
      </c>
      <c r="E42" s="39" t="s">
        <v>3129</v>
      </c>
      <c r="F42" s="39" t="s">
        <v>3130</v>
      </c>
      <c r="G42" s="39" t="s">
        <v>3131</v>
      </c>
      <c r="H42" s="39" t="s">
        <v>34</v>
      </c>
      <c r="I42" s="39">
        <v>5</v>
      </c>
      <c r="J42" s="39" t="s">
        <v>3132</v>
      </c>
      <c r="K42" s="106" t="s">
        <v>3440</v>
      </c>
    </row>
    <row r="43" spans="1:11" ht="13.8" hidden="1" x14ac:dyDescent="0.3">
      <c r="A43" s="20">
        <v>20</v>
      </c>
      <c r="B43" s="116" t="s">
        <v>3081</v>
      </c>
      <c r="C43" s="52"/>
      <c r="D43" s="52" t="s">
        <v>3011</v>
      </c>
      <c r="E43" s="18" t="s">
        <v>3133</v>
      </c>
      <c r="F43" s="39" t="s">
        <v>3134</v>
      </c>
      <c r="G43" s="18" t="s">
        <v>2950</v>
      </c>
      <c r="H43" s="18" t="s">
        <v>51</v>
      </c>
      <c r="I43" s="39">
        <v>9</v>
      </c>
      <c r="J43" s="18" t="s">
        <v>3135</v>
      </c>
      <c r="K43" s="22" t="s">
        <v>3456</v>
      </c>
    </row>
    <row r="44" spans="1:11" ht="22.8" hidden="1" x14ac:dyDescent="0.3">
      <c r="A44" s="20">
        <v>21</v>
      </c>
      <c r="B44" s="116" t="s">
        <v>3081</v>
      </c>
      <c r="C44" s="52"/>
      <c r="D44" s="52" t="s">
        <v>3011</v>
      </c>
      <c r="E44" s="38" t="s">
        <v>3136</v>
      </c>
      <c r="F44" s="18" t="s">
        <v>3137</v>
      </c>
      <c r="G44" s="18" t="s">
        <v>1256</v>
      </c>
      <c r="H44" s="18" t="s">
        <v>34</v>
      </c>
      <c r="I44" s="39">
        <v>9</v>
      </c>
      <c r="J44" s="18" t="s">
        <v>3138</v>
      </c>
      <c r="K44" s="22" t="s">
        <v>3397</v>
      </c>
    </row>
    <row r="45" spans="1:11" ht="9.75" hidden="1" customHeight="1" x14ac:dyDescent="0.3">
      <c r="A45" s="119"/>
      <c r="B45" s="119"/>
      <c r="C45" s="120"/>
      <c r="D45" s="119"/>
      <c r="E45" s="119"/>
      <c r="F45" s="24"/>
      <c r="G45" s="24"/>
      <c r="H45" s="24"/>
      <c r="I45" s="24"/>
      <c r="J45" s="24"/>
      <c r="K45" s="24"/>
    </row>
    <row r="46" spans="1:11" ht="33.75" hidden="1" customHeight="1" x14ac:dyDescent="0.3">
      <c r="A46" s="20">
        <v>22</v>
      </c>
      <c r="B46" s="116" t="s">
        <v>3139</v>
      </c>
      <c r="C46" s="52" t="s">
        <v>3140</v>
      </c>
      <c r="D46" s="16" t="s">
        <v>3141</v>
      </c>
      <c r="E46" s="20" t="s">
        <v>3044</v>
      </c>
      <c r="F46" s="18" t="s">
        <v>3045</v>
      </c>
      <c r="G46" s="18" t="s">
        <v>3046</v>
      </c>
      <c r="H46" s="18" t="s">
        <v>34</v>
      </c>
      <c r="I46" s="18">
        <v>7</v>
      </c>
      <c r="J46" s="18" t="s">
        <v>3047</v>
      </c>
      <c r="K46" s="22"/>
    </row>
    <row r="47" spans="1:11" ht="23.25" hidden="1" customHeight="1" x14ac:dyDescent="0.3">
      <c r="A47" s="20">
        <v>23</v>
      </c>
      <c r="B47" s="116" t="s">
        <v>3139</v>
      </c>
      <c r="C47" s="52"/>
      <c r="D47" s="52" t="s">
        <v>3011</v>
      </c>
      <c r="E47" s="20" t="s">
        <v>3142</v>
      </c>
      <c r="F47" s="18" t="s">
        <v>3143</v>
      </c>
      <c r="G47" s="39" t="s">
        <v>2451</v>
      </c>
      <c r="H47" s="18" t="s">
        <v>51</v>
      </c>
      <c r="I47" s="39">
        <v>9</v>
      </c>
      <c r="J47" s="18" t="s">
        <v>3144</v>
      </c>
      <c r="K47" s="22"/>
    </row>
    <row r="48" spans="1:11" ht="23.25" hidden="1" customHeight="1" x14ac:dyDescent="0.3">
      <c r="A48" s="20">
        <v>24</v>
      </c>
      <c r="B48" s="116" t="s">
        <v>3139</v>
      </c>
      <c r="C48" s="52"/>
      <c r="D48" s="52" t="s">
        <v>3011</v>
      </c>
      <c r="E48" s="101" t="s">
        <v>3145</v>
      </c>
      <c r="F48" s="39" t="s">
        <v>3146</v>
      </c>
      <c r="G48" s="18" t="s">
        <v>854</v>
      </c>
      <c r="H48" s="18" t="s">
        <v>51</v>
      </c>
      <c r="I48" s="39">
        <v>6</v>
      </c>
      <c r="J48" s="39" t="s">
        <v>3147</v>
      </c>
      <c r="K48" s="22" t="s">
        <v>1296</v>
      </c>
    </row>
    <row r="49" spans="1:11" ht="23.25" hidden="1" customHeight="1" x14ac:dyDescent="0.3">
      <c r="A49" s="20">
        <v>25</v>
      </c>
      <c r="B49" s="116" t="s">
        <v>3139</v>
      </c>
      <c r="C49" s="52"/>
      <c r="D49" s="16" t="s">
        <v>3011</v>
      </c>
      <c r="E49" s="18" t="s">
        <v>3148</v>
      </c>
      <c r="F49" s="18" t="s">
        <v>3149</v>
      </c>
      <c r="G49" s="18" t="s">
        <v>3150</v>
      </c>
      <c r="H49" s="18" t="s">
        <v>34</v>
      </c>
      <c r="I49" s="18">
        <v>8</v>
      </c>
      <c r="J49" s="18" t="s">
        <v>3151</v>
      </c>
      <c r="K49" s="22" t="s">
        <v>3457</v>
      </c>
    </row>
    <row r="50" spans="1:11" ht="23.25" hidden="1" customHeight="1" x14ac:dyDescent="0.3">
      <c r="A50" s="20">
        <v>26</v>
      </c>
      <c r="B50" s="116" t="s">
        <v>3139</v>
      </c>
      <c r="C50" s="52"/>
      <c r="D50" s="16" t="s">
        <v>3011</v>
      </c>
      <c r="E50" s="18" t="s">
        <v>3152</v>
      </c>
      <c r="F50" s="18" t="s">
        <v>3153</v>
      </c>
      <c r="G50" s="18" t="s">
        <v>3154</v>
      </c>
      <c r="H50" s="18" t="s">
        <v>34</v>
      </c>
      <c r="I50" s="18">
        <v>8</v>
      </c>
      <c r="J50" s="18" t="s">
        <v>3155</v>
      </c>
      <c r="K50" s="22" t="s">
        <v>3458</v>
      </c>
    </row>
    <row r="51" spans="1:11" ht="23.25" hidden="1" customHeight="1" x14ac:dyDescent="0.3">
      <c r="A51" s="20">
        <v>27</v>
      </c>
      <c r="B51" s="116" t="s">
        <v>3139</v>
      </c>
      <c r="C51" s="52"/>
      <c r="D51" s="16" t="s">
        <v>3011</v>
      </c>
      <c r="E51" s="18" t="s">
        <v>3156</v>
      </c>
      <c r="F51" s="18" t="s">
        <v>3157</v>
      </c>
      <c r="G51" s="18" t="s">
        <v>3158</v>
      </c>
      <c r="H51" s="18" t="s">
        <v>34</v>
      </c>
      <c r="I51" s="18">
        <v>12</v>
      </c>
      <c r="J51" s="18" t="s">
        <v>3159</v>
      </c>
      <c r="K51" s="22" t="s">
        <v>3458</v>
      </c>
    </row>
    <row r="52" spans="1:11" ht="9" hidden="1" customHeight="1" x14ac:dyDescent="0.3">
      <c r="A52" s="119">
        <v>28</v>
      </c>
      <c r="B52" s="119"/>
      <c r="C52" s="119"/>
      <c r="D52" s="119"/>
      <c r="E52" s="121"/>
      <c r="F52" s="121"/>
      <c r="G52" s="24"/>
      <c r="H52" s="24"/>
      <c r="I52" s="24"/>
      <c r="J52" s="24"/>
      <c r="K52" s="24"/>
    </row>
    <row r="53" spans="1:11" ht="13.8" hidden="1" x14ac:dyDescent="0.3">
      <c r="A53" s="20">
        <v>29</v>
      </c>
      <c r="B53" s="20" t="s">
        <v>3081</v>
      </c>
      <c r="C53" s="16"/>
      <c r="D53" s="16" t="s">
        <v>3043</v>
      </c>
      <c r="E53" s="39" t="s">
        <v>1776</v>
      </c>
      <c r="F53" s="39" t="s">
        <v>3160</v>
      </c>
      <c r="G53" s="18" t="s">
        <v>168</v>
      </c>
      <c r="H53" s="18" t="s">
        <v>34</v>
      </c>
      <c r="I53" s="18">
        <v>8</v>
      </c>
      <c r="J53" s="18" t="s">
        <v>1780</v>
      </c>
      <c r="K53" s="22" t="s">
        <v>3441</v>
      </c>
    </row>
    <row r="54" spans="1:11" ht="34.200000000000003" hidden="1" x14ac:dyDescent="0.3">
      <c r="A54" s="20">
        <v>30</v>
      </c>
      <c r="B54" s="20" t="s">
        <v>3081</v>
      </c>
      <c r="C54" s="16"/>
      <c r="D54" s="16" t="s">
        <v>3043</v>
      </c>
      <c r="E54" s="20" t="s">
        <v>3161</v>
      </c>
      <c r="F54" s="18" t="s">
        <v>3162</v>
      </c>
      <c r="G54" s="39" t="s">
        <v>3002</v>
      </c>
      <c r="H54" s="18" t="s">
        <v>51</v>
      </c>
      <c r="I54" s="39">
        <v>8</v>
      </c>
      <c r="J54" s="18" t="s">
        <v>3163</v>
      </c>
      <c r="K54" s="22" t="s">
        <v>3459</v>
      </c>
    </row>
    <row r="55" spans="1:11" ht="13.8" hidden="1" x14ac:dyDescent="0.3">
      <c r="A55" s="20">
        <v>31</v>
      </c>
      <c r="B55" s="20" t="s">
        <v>3081</v>
      </c>
      <c r="C55" s="16"/>
      <c r="D55" s="16" t="s">
        <v>3043</v>
      </c>
      <c r="E55" s="39" t="s">
        <v>3164</v>
      </c>
      <c r="F55" s="21" t="s">
        <v>3165</v>
      </c>
      <c r="G55" s="21" t="s">
        <v>128</v>
      </c>
      <c r="H55" s="21" t="s">
        <v>51</v>
      </c>
      <c r="I55" s="21">
        <v>9</v>
      </c>
      <c r="J55" s="21" t="s">
        <v>3166</v>
      </c>
      <c r="K55" s="122" t="s">
        <v>3167</v>
      </c>
    </row>
    <row r="56" spans="1:11" ht="13.8" hidden="1" x14ac:dyDescent="0.3">
      <c r="A56" s="20">
        <v>32</v>
      </c>
      <c r="B56" s="116" t="s">
        <v>3081</v>
      </c>
      <c r="C56" s="52"/>
      <c r="D56" s="52" t="s">
        <v>3011</v>
      </c>
      <c r="E56" s="18" t="s">
        <v>3168</v>
      </c>
      <c r="F56" s="18" t="s">
        <v>3169</v>
      </c>
      <c r="G56" s="18" t="s">
        <v>3170</v>
      </c>
      <c r="H56" s="18" t="s">
        <v>51</v>
      </c>
      <c r="I56" s="18">
        <v>9</v>
      </c>
      <c r="J56" s="18" t="s">
        <v>3171</v>
      </c>
      <c r="K56" s="22" t="s">
        <v>3460</v>
      </c>
    </row>
    <row r="57" spans="1:11" ht="23.25" hidden="1" customHeight="1" x14ac:dyDescent="0.3">
      <c r="A57" s="123">
        <v>33</v>
      </c>
      <c r="B57" s="124" t="s">
        <v>3081</v>
      </c>
      <c r="C57" s="125" t="s">
        <v>3172</v>
      </c>
      <c r="D57" s="126" t="s">
        <v>3043</v>
      </c>
      <c r="E57" s="123" t="s">
        <v>2991</v>
      </c>
      <c r="F57" s="127" t="s">
        <v>2992</v>
      </c>
      <c r="G57" s="127" t="s">
        <v>2993</v>
      </c>
      <c r="H57" s="127" t="s">
        <v>34</v>
      </c>
      <c r="I57" s="127">
        <v>11</v>
      </c>
      <c r="J57" s="127" t="s">
        <v>2994</v>
      </c>
      <c r="K57" s="128" t="s">
        <v>3461</v>
      </c>
    </row>
    <row r="58" spans="1:11" ht="23.25" hidden="1" customHeight="1" x14ac:dyDescent="0.3">
      <c r="A58" s="129">
        <v>34</v>
      </c>
      <c r="B58" s="130" t="s">
        <v>3139</v>
      </c>
      <c r="C58" s="131"/>
      <c r="D58" s="132" t="s">
        <v>3043</v>
      </c>
      <c r="E58" s="133" t="s">
        <v>2995</v>
      </c>
      <c r="F58" s="104" t="s">
        <v>2996</v>
      </c>
      <c r="G58" s="104" t="s">
        <v>2997</v>
      </c>
      <c r="H58" s="104" t="s">
        <v>34</v>
      </c>
      <c r="I58" s="104">
        <v>12</v>
      </c>
      <c r="J58" s="104" t="s">
        <v>2998</v>
      </c>
      <c r="K58" s="105" t="s">
        <v>3462</v>
      </c>
    </row>
    <row r="59" spans="1:11" ht="34.200000000000003" hidden="1" x14ac:dyDescent="0.3">
      <c r="A59" s="20">
        <v>35</v>
      </c>
      <c r="B59" s="20" t="s">
        <v>3173</v>
      </c>
      <c r="C59" s="16"/>
      <c r="D59" s="16" t="s">
        <v>3011</v>
      </c>
      <c r="E59" s="20" t="s">
        <v>3161</v>
      </c>
      <c r="F59" s="18" t="s">
        <v>3162</v>
      </c>
      <c r="G59" s="39" t="s">
        <v>3002</v>
      </c>
      <c r="H59" s="18" t="s">
        <v>51</v>
      </c>
      <c r="I59" s="39">
        <v>8</v>
      </c>
      <c r="J59" s="18" t="s">
        <v>3163</v>
      </c>
      <c r="K59" s="22" t="s">
        <v>3459</v>
      </c>
    </row>
    <row r="60" spans="1:11" ht="23.25" hidden="1" customHeight="1" x14ac:dyDescent="0.3">
      <c r="A60" s="20">
        <v>36</v>
      </c>
      <c r="B60" s="20" t="s">
        <v>3173</v>
      </c>
      <c r="C60" s="16"/>
      <c r="D60" s="16" t="s">
        <v>3011</v>
      </c>
      <c r="E60" s="37" t="s">
        <v>2158</v>
      </c>
      <c r="F60" s="37" t="s">
        <v>2159</v>
      </c>
      <c r="G60" s="37" t="s">
        <v>1730</v>
      </c>
      <c r="H60" s="37" t="s">
        <v>34</v>
      </c>
      <c r="I60" s="18">
        <v>7</v>
      </c>
      <c r="J60" s="37" t="s">
        <v>2163</v>
      </c>
      <c r="K60" s="109" t="s">
        <v>2157</v>
      </c>
    </row>
    <row r="61" spans="1:11" ht="23.25" hidden="1" customHeight="1" x14ac:dyDescent="0.3">
      <c r="A61" s="20">
        <v>37</v>
      </c>
      <c r="B61" s="20" t="s">
        <v>3173</v>
      </c>
      <c r="C61" s="16"/>
      <c r="D61" s="16" t="s">
        <v>3011</v>
      </c>
      <c r="E61" s="37" t="s">
        <v>2418</v>
      </c>
      <c r="F61" s="37" t="s">
        <v>2419</v>
      </c>
      <c r="G61" s="37" t="s">
        <v>2420</v>
      </c>
      <c r="H61" s="37" t="s">
        <v>34</v>
      </c>
      <c r="I61" s="18">
        <v>10</v>
      </c>
      <c r="J61" s="37" t="s">
        <v>2424</v>
      </c>
      <c r="K61" s="109" t="s">
        <v>2373</v>
      </c>
    </row>
    <row r="62" spans="1:11" ht="23.25" hidden="1" customHeight="1" x14ac:dyDescent="0.3">
      <c r="A62" s="123">
        <v>38</v>
      </c>
      <c r="B62" s="123" t="s">
        <v>3173</v>
      </c>
      <c r="C62" s="126"/>
      <c r="D62" s="126" t="s">
        <v>3011</v>
      </c>
      <c r="E62" s="134" t="s">
        <v>3174</v>
      </c>
      <c r="F62" s="134" t="s">
        <v>3175</v>
      </c>
      <c r="G62" s="134" t="s">
        <v>3176</v>
      </c>
      <c r="H62" s="134" t="s">
        <v>51</v>
      </c>
      <c r="I62" s="127">
        <v>8</v>
      </c>
      <c r="J62" s="134" t="s">
        <v>3177</v>
      </c>
      <c r="K62" s="135" t="s">
        <v>3463</v>
      </c>
    </row>
    <row r="63" spans="1:11" ht="23.25" customHeight="1" x14ac:dyDescent="0.3">
      <c r="A63" s="129">
        <v>1</v>
      </c>
      <c r="B63" s="129" t="s">
        <v>3178</v>
      </c>
      <c r="C63" s="132" t="s">
        <v>3179</v>
      </c>
      <c r="D63" s="16" t="s">
        <v>3011</v>
      </c>
      <c r="E63" s="136" t="s">
        <v>2117</v>
      </c>
      <c r="F63" s="136" t="s">
        <v>2118</v>
      </c>
      <c r="G63" s="136" t="s">
        <v>996</v>
      </c>
      <c r="H63" s="136" t="s">
        <v>34</v>
      </c>
      <c r="I63" s="104">
        <v>8</v>
      </c>
      <c r="J63" s="136" t="s">
        <v>2122</v>
      </c>
      <c r="K63" s="165" t="s">
        <v>3384</v>
      </c>
    </row>
    <row r="64" spans="1:11" ht="23.25" customHeight="1" x14ac:dyDescent="0.3">
      <c r="A64" s="129">
        <v>2</v>
      </c>
      <c r="B64" s="20" t="s">
        <v>3178</v>
      </c>
      <c r="C64" s="132" t="s">
        <v>3180</v>
      </c>
      <c r="D64" s="16" t="s">
        <v>3011</v>
      </c>
      <c r="E64" s="24" t="s">
        <v>3181</v>
      </c>
      <c r="F64" s="137" t="s">
        <v>3182</v>
      </c>
      <c r="G64" s="137" t="s">
        <v>3183</v>
      </c>
      <c r="H64" s="137" t="s">
        <v>34</v>
      </c>
      <c r="I64" s="137">
        <v>5</v>
      </c>
      <c r="J64" s="137" t="s">
        <v>3184</v>
      </c>
      <c r="K64" s="166" t="s">
        <v>3377</v>
      </c>
    </row>
    <row r="65" spans="1:11" ht="23.25" customHeight="1" x14ac:dyDescent="0.3">
      <c r="A65" s="20">
        <v>3</v>
      </c>
      <c r="B65" s="20" t="s">
        <v>3178</v>
      </c>
      <c r="C65" s="16" t="s">
        <v>3185</v>
      </c>
      <c r="D65" s="16" t="s">
        <v>3011</v>
      </c>
      <c r="E65" s="18" t="s">
        <v>2361</v>
      </c>
      <c r="F65" s="18" t="s">
        <v>2362</v>
      </c>
      <c r="G65" s="18" t="s">
        <v>2363</v>
      </c>
      <c r="H65" s="18" t="s">
        <v>51</v>
      </c>
      <c r="I65" s="18">
        <v>9</v>
      </c>
      <c r="J65" s="18" t="s">
        <v>2366</v>
      </c>
      <c r="K65" s="167" t="s">
        <v>3378</v>
      </c>
    </row>
    <row r="66" spans="1:11" ht="23.25" customHeight="1" x14ac:dyDescent="0.3">
      <c r="A66" s="129">
        <v>4</v>
      </c>
      <c r="B66" s="20" t="s">
        <v>3178</v>
      </c>
      <c r="C66" s="16" t="s">
        <v>3186</v>
      </c>
      <c r="D66" s="16" t="s">
        <v>3011</v>
      </c>
      <c r="E66" s="18" t="s">
        <v>3187</v>
      </c>
      <c r="F66" s="18" t="s">
        <v>3188</v>
      </c>
      <c r="G66" s="18" t="s">
        <v>3189</v>
      </c>
      <c r="H66" s="18" t="s">
        <v>34</v>
      </c>
      <c r="I66" s="18">
        <v>5</v>
      </c>
      <c r="J66" s="31" t="s">
        <v>3190</v>
      </c>
      <c r="K66" s="167" t="s">
        <v>3379</v>
      </c>
    </row>
    <row r="67" spans="1:11" ht="23.25" customHeight="1" x14ac:dyDescent="0.3">
      <c r="A67" s="129">
        <v>5</v>
      </c>
      <c r="B67" s="20" t="s">
        <v>3178</v>
      </c>
      <c r="C67" s="16" t="s">
        <v>3191</v>
      </c>
      <c r="D67" s="16" t="s">
        <v>3011</v>
      </c>
      <c r="E67" s="138" t="s">
        <v>1917</v>
      </c>
      <c r="F67" s="139" t="s">
        <v>1918</v>
      </c>
      <c r="G67" s="139" t="s">
        <v>1919</v>
      </c>
      <c r="H67" s="139" t="s">
        <v>51</v>
      </c>
      <c r="I67" s="139">
        <v>7</v>
      </c>
      <c r="J67" s="139" t="s">
        <v>1921</v>
      </c>
      <c r="K67" s="168" t="s">
        <v>3381</v>
      </c>
    </row>
    <row r="68" spans="1:11" ht="23.25" customHeight="1" x14ac:dyDescent="0.3">
      <c r="A68" s="20">
        <v>6</v>
      </c>
      <c r="B68" s="20" t="s">
        <v>3178</v>
      </c>
      <c r="C68" s="16" t="s">
        <v>3179</v>
      </c>
      <c r="D68" s="16" t="s">
        <v>3011</v>
      </c>
      <c r="E68" s="138" t="s">
        <v>2190</v>
      </c>
      <c r="F68" s="139" t="s">
        <v>2191</v>
      </c>
      <c r="G68" s="139" t="s">
        <v>2192</v>
      </c>
      <c r="H68" s="139" t="s">
        <v>51</v>
      </c>
      <c r="I68" s="139">
        <v>4</v>
      </c>
      <c r="J68" s="139" t="s">
        <v>2195</v>
      </c>
      <c r="K68" s="168" t="s">
        <v>3484</v>
      </c>
    </row>
    <row r="69" spans="1:11" ht="23.25" customHeight="1" x14ac:dyDescent="0.3">
      <c r="A69" s="129">
        <v>7</v>
      </c>
      <c r="B69" s="20" t="s">
        <v>3178</v>
      </c>
      <c r="C69" s="16" t="s">
        <v>3186</v>
      </c>
      <c r="D69" s="16" t="s">
        <v>3011</v>
      </c>
      <c r="E69" s="138" t="s">
        <v>2145</v>
      </c>
      <c r="F69" s="140" t="s">
        <v>2146</v>
      </c>
      <c r="G69" s="140" t="s">
        <v>2147</v>
      </c>
      <c r="H69" s="140" t="s">
        <v>34</v>
      </c>
      <c r="I69" s="139">
        <v>1</v>
      </c>
      <c r="J69" s="141" t="s">
        <v>2150</v>
      </c>
      <c r="K69" s="169" t="s">
        <v>3383</v>
      </c>
    </row>
    <row r="70" spans="1:11" ht="23.25" customHeight="1" x14ac:dyDescent="0.3">
      <c r="A70" s="129">
        <v>8</v>
      </c>
      <c r="B70" s="20" t="s">
        <v>3178</v>
      </c>
      <c r="C70" s="16" t="s">
        <v>3186</v>
      </c>
      <c r="D70" s="16" t="s">
        <v>3011</v>
      </c>
      <c r="E70" s="138" t="s">
        <v>2130</v>
      </c>
      <c r="F70" s="140" t="s">
        <v>2131</v>
      </c>
      <c r="G70" s="140" t="s">
        <v>2132</v>
      </c>
      <c r="H70" s="140" t="s">
        <v>34</v>
      </c>
      <c r="I70" s="139">
        <v>7</v>
      </c>
      <c r="J70" s="140" t="s">
        <v>2136</v>
      </c>
      <c r="K70" s="169" t="s">
        <v>3384</v>
      </c>
    </row>
    <row r="71" spans="1:11" ht="23.25" customHeight="1" x14ac:dyDescent="0.3">
      <c r="A71" s="20">
        <v>9</v>
      </c>
      <c r="B71" s="20" t="s">
        <v>3178</v>
      </c>
      <c r="C71" s="16" t="s">
        <v>3186</v>
      </c>
      <c r="D71" s="16" t="s">
        <v>3011</v>
      </c>
      <c r="E71" s="138" t="s">
        <v>3004</v>
      </c>
      <c r="F71" s="139" t="s">
        <v>3005</v>
      </c>
      <c r="G71" s="139" t="s">
        <v>231</v>
      </c>
      <c r="H71" s="139" t="s">
        <v>34</v>
      </c>
      <c r="I71" s="139">
        <v>12</v>
      </c>
      <c r="J71" s="139" t="s">
        <v>3006</v>
      </c>
      <c r="K71" s="168" t="s">
        <v>3385</v>
      </c>
    </row>
    <row r="72" spans="1:11" ht="23.25" customHeight="1" x14ac:dyDescent="0.3">
      <c r="A72" s="129">
        <v>10</v>
      </c>
      <c r="B72" s="20" t="s">
        <v>3178</v>
      </c>
      <c r="C72" s="16" t="s">
        <v>3192</v>
      </c>
      <c r="D72" s="16" t="s">
        <v>3011</v>
      </c>
      <c r="E72" s="18" t="s">
        <v>2174</v>
      </c>
      <c r="F72" s="18" t="s">
        <v>2175</v>
      </c>
      <c r="G72" s="18" t="s">
        <v>2176</v>
      </c>
      <c r="H72" s="18" t="s">
        <v>51</v>
      </c>
      <c r="I72" s="18">
        <v>8</v>
      </c>
      <c r="J72" s="31" t="s">
        <v>2179</v>
      </c>
      <c r="K72" s="170" t="s">
        <v>3386</v>
      </c>
    </row>
    <row r="73" spans="1:11" ht="23.25" customHeight="1" x14ac:dyDescent="0.3">
      <c r="A73" s="129">
        <v>11</v>
      </c>
      <c r="B73" s="20" t="s">
        <v>3178</v>
      </c>
      <c r="C73" s="16" t="s">
        <v>3193</v>
      </c>
      <c r="D73" s="16" t="s">
        <v>3011</v>
      </c>
      <c r="E73" s="181" t="s">
        <v>3483</v>
      </c>
      <c r="F73" s="17" t="s">
        <v>3194</v>
      </c>
      <c r="G73" s="17" t="s">
        <v>3195</v>
      </c>
      <c r="H73" s="17" t="s">
        <v>34</v>
      </c>
      <c r="I73" s="17">
        <v>9</v>
      </c>
      <c r="J73" s="17" t="s">
        <v>3196</v>
      </c>
      <c r="K73" s="171" t="s">
        <v>3387</v>
      </c>
    </row>
    <row r="74" spans="1:11" ht="23.25" customHeight="1" x14ac:dyDescent="0.3">
      <c r="A74" s="20">
        <v>12</v>
      </c>
      <c r="B74" s="20" t="s">
        <v>3178</v>
      </c>
      <c r="C74" s="16" t="s">
        <v>3193</v>
      </c>
      <c r="D74" s="16" t="s">
        <v>3011</v>
      </c>
      <c r="E74" s="17" t="s">
        <v>2982</v>
      </c>
      <c r="F74" s="17" t="s">
        <v>3197</v>
      </c>
      <c r="G74" s="17" t="s">
        <v>3198</v>
      </c>
      <c r="H74" s="17" t="s">
        <v>51</v>
      </c>
      <c r="I74" s="17">
        <v>2</v>
      </c>
      <c r="J74" s="17" t="s">
        <v>3199</v>
      </c>
      <c r="K74" s="171" t="s">
        <v>3388</v>
      </c>
    </row>
    <row r="75" spans="1:11" ht="23.25" customHeight="1" x14ac:dyDescent="0.3">
      <c r="A75" s="129">
        <v>13</v>
      </c>
      <c r="B75" s="20" t="s">
        <v>3178</v>
      </c>
      <c r="C75" s="16" t="s">
        <v>3186</v>
      </c>
      <c r="D75" s="16" t="s">
        <v>3011</v>
      </c>
      <c r="E75" s="138" t="s">
        <v>2091</v>
      </c>
      <c r="F75" s="140" t="s">
        <v>2092</v>
      </c>
      <c r="G75" s="140" t="s">
        <v>1568</v>
      </c>
      <c r="H75" s="140" t="s">
        <v>34</v>
      </c>
      <c r="I75" s="139">
        <v>4</v>
      </c>
      <c r="J75" s="140" t="s">
        <v>2096</v>
      </c>
      <c r="K75" s="169" t="s">
        <v>3389</v>
      </c>
    </row>
    <row r="76" spans="1:11" ht="23.25" customHeight="1" x14ac:dyDescent="0.3">
      <c r="A76" s="129">
        <v>14</v>
      </c>
      <c r="B76" s="20" t="s">
        <v>3178</v>
      </c>
      <c r="C76" s="16" t="s">
        <v>3179</v>
      </c>
      <c r="D76" s="16" t="s">
        <v>3011</v>
      </c>
      <c r="E76" s="39" t="s">
        <v>2030</v>
      </c>
      <c r="F76" s="48" t="s">
        <v>2031</v>
      </c>
      <c r="G76" s="48" t="s">
        <v>2032</v>
      </c>
      <c r="H76" s="48" t="s">
        <v>51</v>
      </c>
      <c r="I76" s="18">
        <v>1</v>
      </c>
      <c r="J76" s="48" t="s">
        <v>2036</v>
      </c>
      <c r="K76" s="172" t="s">
        <v>3390</v>
      </c>
    </row>
    <row r="77" spans="1:11" ht="23.25" customHeight="1" x14ac:dyDescent="0.3">
      <c r="A77" s="20">
        <v>15</v>
      </c>
      <c r="B77" s="20" t="s">
        <v>3178</v>
      </c>
      <c r="C77" s="184" t="s">
        <v>3487</v>
      </c>
      <c r="D77" s="16" t="s">
        <v>3011</v>
      </c>
      <c r="E77" s="17" t="s">
        <v>3200</v>
      </c>
      <c r="F77" s="17" t="s">
        <v>3201</v>
      </c>
      <c r="G77" s="17" t="s">
        <v>1065</v>
      </c>
      <c r="H77" s="17" t="s">
        <v>51</v>
      </c>
      <c r="I77" s="17">
        <v>7</v>
      </c>
      <c r="J77" s="17" t="s">
        <v>3202</v>
      </c>
      <c r="K77" s="171" t="s">
        <v>3391</v>
      </c>
    </row>
    <row r="78" spans="1:11" ht="23.25" customHeight="1" x14ac:dyDescent="0.3">
      <c r="A78" s="129">
        <v>16</v>
      </c>
      <c r="B78" s="20" t="s">
        <v>3178</v>
      </c>
      <c r="C78" s="184" t="s">
        <v>3487</v>
      </c>
      <c r="D78" s="16" t="s">
        <v>3011</v>
      </c>
      <c r="E78" s="37" t="s">
        <v>2103</v>
      </c>
      <c r="F78" s="37" t="s">
        <v>2104</v>
      </c>
      <c r="G78" s="37" t="s">
        <v>2105</v>
      </c>
      <c r="H78" s="37" t="s">
        <v>34</v>
      </c>
      <c r="I78" s="18">
        <v>1</v>
      </c>
      <c r="J78" s="142" t="s">
        <v>2108</v>
      </c>
      <c r="K78" s="172" t="s">
        <v>3392</v>
      </c>
    </row>
    <row r="79" spans="1:11" ht="23.25" customHeight="1" x14ac:dyDescent="0.3">
      <c r="A79" s="129">
        <v>17</v>
      </c>
      <c r="B79" s="20" t="s">
        <v>3178</v>
      </c>
      <c r="C79" s="16" t="s">
        <v>3186</v>
      </c>
      <c r="D79" s="16" t="s">
        <v>3011</v>
      </c>
      <c r="E79" s="17" t="s">
        <v>2296</v>
      </c>
      <c r="F79" s="18" t="s">
        <v>2297</v>
      </c>
      <c r="G79" s="18" t="s">
        <v>2298</v>
      </c>
      <c r="H79" s="18" t="s">
        <v>51</v>
      </c>
      <c r="I79" s="18">
        <v>3</v>
      </c>
      <c r="J79" s="18" t="s">
        <v>2300</v>
      </c>
      <c r="K79" s="167" t="s">
        <v>3393</v>
      </c>
    </row>
    <row r="80" spans="1:11" ht="23.25" customHeight="1" thickBot="1" x14ac:dyDescent="0.35">
      <c r="A80" s="123">
        <v>18</v>
      </c>
      <c r="B80" s="123" t="s">
        <v>3178</v>
      </c>
      <c r="C80" s="16" t="s">
        <v>3186</v>
      </c>
      <c r="D80" s="126" t="s">
        <v>3011</v>
      </c>
      <c r="E80" s="143" t="s">
        <v>2285</v>
      </c>
      <c r="F80" s="127" t="s">
        <v>2286</v>
      </c>
      <c r="G80" s="127" t="s">
        <v>2287</v>
      </c>
      <c r="H80" s="127" t="s">
        <v>51</v>
      </c>
      <c r="I80" s="127">
        <v>4</v>
      </c>
      <c r="J80" s="127" t="s">
        <v>1008</v>
      </c>
      <c r="K80" s="173" t="s">
        <v>3394</v>
      </c>
    </row>
    <row r="81" spans="1:11" ht="23.25" customHeight="1" thickTop="1" x14ac:dyDescent="0.3">
      <c r="A81" s="129">
        <v>19</v>
      </c>
      <c r="B81" s="129" t="s">
        <v>3203</v>
      </c>
      <c r="C81" s="132" t="s">
        <v>3204</v>
      </c>
      <c r="D81" s="132" t="s">
        <v>3043</v>
      </c>
      <c r="E81" s="87" t="s">
        <v>2263</v>
      </c>
      <c r="F81" s="104" t="s">
        <v>2264</v>
      </c>
      <c r="G81" s="104" t="s">
        <v>3205</v>
      </c>
      <c r="H81" s="104" t="s">
        <v>34</v>
      </c>
      <c r="I81" s="104">
        <v>1</v>
      </c>
      <c r="J81" s="104" t="s">
        <v>2269</v>
      </c>
      <c r="K81" s="174" t="s">
        <v>3395</v>
      </c>
    </row>
    <row r="82" spans="1:11" ht="23.25" customHeight="1" x14ac:dyDescent="0.3">
      <c r="A82" s="129">
        <v>20</v>
      </c>
      <c r="B82" s="20" t="s">
        <v>3203</v>
      </c>
      <c r="C82" s="16" t="s">
        <v>3206</v>
      </c>
      <c r="D82" s="16" t="s">
        <v>3011</v>
      </c>
      <c r="E82" s="24" t="s">
        <v>1877</v>
      </c>
      <c r="F82" s="137" t="s">
        <v>1878</v>
      </c>
      <c r="G82" s="137" t="s">
        <v>1879</v>
      </c>
      <c r="H82" s="137" t="s">
        <v>51</v>
      </c>
      <c r="I82" s="137">
        <v>8</v>
      </c>
      <c r="J82" s="137" t="s">
        <v>1883</v>
      </c>
      <c r="K82" s="166" t="s">
        <v>3381</v>
      </c>
    </row>
    <row r="83" spans="1:11" ht="23.25" customHeight="1" x14ac:dyDescent="0.3">
      <c r="A83" s="20">
        <v>21</v>
      </c>
      <c r="B83" s="20" t="s">
        <v>3203</v>
      </c>
      <c r="C83" s="16" t="s">
        <v>3207</v>
      </c>
      <c r="D83" s="16" t="s">
        <v>3043</v>
      </c>
      <c r="E83" s="18" t="s">
        <v>2661</v>
      </c>
      <c r="F83" s="18" t="s">
        <v>2662</v>
      </c>
      <c r="G83" s="18" t="s">
        <v>275</v>
      </c>
      <c r="H83" s="18" t="s">
        <v>51</v>
      </c>
      <c r="I83" s="39">
        <v>9</v>
      </c>
      <c r="J83" s="18" t="s">
        <v>2665</v>
      </c>
      <c r="K83" s="167" t="s">
        <v>3396</v>
      </c>
    </row>
    <row r="84" spans="1:11" ht="23.25" customHeight="1" x14ac:dyDescent="0.3">
      <c r="A84" s="129">
        <v>22</v>
      </c>
      <c r="B84" s="20" t="s">
        <v>3203</v>
      </c>
      <c r="C84" s="16" t="s">
        <v>3208</v>
      </c>
      <c r="D84" s="16" t="s">
        <v>3011</v>
      </c>
      <c r="E84" s="38" t="s">
        <v>3136</v>
      </c>
      <c r="F84" s="18" t="s">
        <v>3137</v>
      </c>
      <c r="G84" s="18" t="s">
        <v>1256</v>
      </c>
      <c r="H84" s="18" t="s">
        <v>34</v>
      </c>
      <c r="I84" s="39">
        <v>9</v>
      </c>
      <c r="J84" s="18" t="s">
        <v>3138</v>
      </c>
      <c r="K84" s="167" t="s">
        <v>3398</v>
      </c>
    </row>
    <row r="85" spans="1:11" ht="23.25" customHeight="1" x14ac:dyDescent="0.3">
      <c r="A85" s="129">
        <v>23</v>
      </c>
      <c r="B85" s="20" t="s">
        <v>3203</v>
      </c>
      <c r="C85" s="16" t="s">
        <v>3209</v>
      </c>
      <c r="D85" s="16" t="s">
        <v>3011</v>
      </c>
      <c r="E85" s="20" t="s">
        <v>3210</v>
      </c>
      <c r="F85" s="18" t="s">
        <v>3211</v>
      </c>
      <c r="G85" s="18" t="s">
        <v>3008</v>
      </c>
      <c r="H85" s="18" t="s">
        <v>51</v>
      </c>
      <c r="I85" s="18">
        <v>10</v>
      </c>
      <c r="J85" s="18" t="s">
        <v>3212</v>
      </c>
      <c r="K85" s="167" t="s">
        <v>3398</v>
      </c>
    </row>
    <row r="86" spans="1:11" ht="23.25" customHeight="1" x14ac:dyDescent="0.3">
      <c r="A86" s="20">
        <v>24</v>
      </c>
      <c r="B86" s="20" t="s">
        <v>3203</v>
      </c>
      <c r="C86" s="16" t="s">
        <v>3213</v>
      </c>
      <c r="D86" s="16" t="s">
        <v>3011</v>
      </c>
      <c r="E86" s="18" t="s">
        <v>1891</v>
      </c>
      <c r="F86" s="18" t="s">
        <v>1892</v>
      </c>
      <c r="G86" s="18" t="s">
        <v>1893</v>
      </c>
      <c r="H86" s="18" t="s">
        <v>51</v>
      </c>
      <c r="I86" s="18">
        <v>11</v>
      </c>
      <c r="J86" s="18" t="s">
        <v>1897</v>
      </c>
      <c r="K86" s="167" t="s">
        <v>3381</v>
      </c>
    </row>
    <row r="87" spans="1:11" ht="23.25" customHeight="1" x14ac:dyDescent="0.3">
      <c r="A87" s="129">
        <v>25</v>
      </c>
      <c r="B87" s="20" t="s">
        <v>3203</v>
      </c>
      <c r="C87" s="16" t="s">
        <v>3214</v>
      </c>
      <c r="D87" s="16" t="s">
        <v>3011</v>
      </c>
      <c r="E87" s="100" t="s">
        <v>1076</v>
      </c>
      <c r="F87" s="107" t="s">
        <v>2018</v>
      </c>
      <c r="G87" s="107" t="s">
        <v>364</v>
      </c>
      <c r="H87" s="107" t="s">
        <v>51</v>
      </c>
      <c r="I87" s="18">
        <v>10</v>
      </c>
      <c r="J87" s="107" t="s">
        <v>2022</v>
      </c>
      <c r="K87" s="170" t="s">
        <v>3399</v>
      </c>
    </row>
    <row r="88" spans="1:11" ht="23.25" customHeight="1" x14ac:dyDescent="0.3">
      <c r="A88" s="129">
        <v>26</v>
      </c>
      <c r="B88" s="20" t="s">
        <v>3203</v>
      </c>
      <c r="C88" s="16" t="s">
        <v>3215</v>
      </c>
      <c r="D88" s="29" t="s">
        <v>3043</v>
      </c>
      <c r="E88" s="17" t="s">
        <v>2204</v>
      </c>
      <c r="F88" s="18" t="s">
        <v>2205</v>
      </c>
      <c r="G88" s="18" t="s">
        <v>388</v>
      </c>
      <c r="H88" s="18" t="s">
        <v>34</v>
      </c>
      <c r="I88" s="18">
        <v>1</v>
      </c>
      <c r="J88" s="18" t="s">
        <v>2209</v>
      </c>
      <c r="K88" s="167" t="s">
        <v>3400</v>
      </c>
    </row>
    <row r="89" spans="1:11" ht="23.25" customHeight="1" x14ac:dyDescent="0.3">
      <c r="A89" s="20">
        <v>27</v>
      </c>
      <c r="B89" s="20" t="s">
        <v>3203</v>
      </c>
      <c r="C89" s="16" t="s">
        <v>3179</v>
      </c>
      <c r="D89" s="16" t="s">
        <v>3011</v>
      </c>
      <c r="E89" s="17" t="s">
        <v>2216</v>
      </c>
      <c r="F89" s="18" t="s">
        <v>2217</v>
      </c>
      <c r="G89" s="18" t="s">
        <v>2218</v>
      </c>
      <c r="H89" s="18" t="s">
        <v>34</v>
      </c>
      <c r="I89" s="18">
        <v>1</v>
      </c>
      <c r="J89" s="18" t="s">
        <v>2221</v>
      </c>
      <c r="K89" s="167" t="s">
        <v>3400</v>
      </c>
    </row>
    <row r="90" spans="1:11" ht="23.25" customHeight="1" x14ac:dyDescent="0.3">
      <c r="A90" s="129">
        <v>28</v>
      </c>
      <c r="B90" s="20" t="s">
        <v>3203</v>
      </c>
      <c r="C90" s="16"/>
      <c r="D90" s="16" t="s">
        <v>3011</v>
      </c>
      <c r="E90" s="17" t="s">
        <v>2348</v>
      </c>
      <c r="F90" s="18" t="s">
        <v>2349</v>
      </c>
      <c r="G90" s="18" t="s">
        <v>2350</v>
      </c>
      <c r="H90" s="18" t="s">
        <v>51</v>
      </c>
      <c r="I90" s="18">
        <v>5</v>
      </c>
      <c r="J90" s="18" t="s">
        <v>2352</v>
      </c>
      <c r="K90" s="167" t="s">
        <v>3401</v>
      </c>
    </row>
    <row r="91" spans="1:11" ht="23.25" customHeight="1" x14ac:dyDescent="0.3">
      <c r="A91" s="129">
        <v>29</v>
      </c>
      <c r="B91" s="20" t="s">
        <v>3203</v>
      </c>
      <c r="C91" s="16"/>
      <c r="D91" s="16" t="s">
        <v>3011</v>
      </c>
      <c r="E91" s="37" t="s">
        <v>3216</v>
      </c>
      <c r="F91" s="101" t="s">
        <v>3217</v>
      </c>
      <c r="G91" s="101" t="s">
        <v>3218</v>
      </c>
      <c r="H91" s="18" t="s">
        <v>34</v>
      </c>
      <c r="I91" s="18">
        <v>3</v>
      </c>
      <c r="J91" s="20" t="s">
        <v>3219</v>
      </c>
      <c r="K91" s="175" t="s">
        <v>3402</v>
      </c>
    </row>
    <row r="92" spans="1:11" ht="23.25" customHeight="1" x14ac:dyDescent="0.3">
      <c r="A92" s="20">
        <v>30</v>
      </c>
      <c r="B92" s="20" t="s">
        <v>3203</v>
      </c>
      <c r="C92" s="16"/>
      <c r="D92" s="16" t="s">
        <v>3043</v>
      </c>
      <c r="E92" s="17" t="s">
        <v>2374</v>
      </c>
      <c r="F92" s="18" t="s">
        <v>2375</v>
      </c>
      <c r="G92" s="18" t="s">
        <v>2376</v>
      </c>
      <c r="H92" s="18" t="s">
        <v>34</v>
      </c>
      <c r="I92" s="18">
        <v>10</v>
      </c>
      <c r="J92" s="18" t="s">
        <v>2380</v>
      </c>
      <c r="K92" s="167" t="s">
        <v>3403</v>
      </c>
    </row>
    <row r="93" spans="1:11" ht="23.25" customHeight="1" x14ac:dyDescent="0.3">
      <c r="A93" s="129">
        <v>31</v>
      </c>
      <c r="B93" s="20" t="s">
        <v>3203</v>
      </c>
      <c r="C93" s="16"/>
      <c r="D93" s="16" t="s">
        <v>3011</v>
      </c>
      <c r="E93" s="17" t="s">
        <v>2404</v>
      </c>
      <c r="F93" s="18" t="s">
        <v>2405</v>
      </c>
      <c r="G93" s="18" t="s">
        <v>2406</v>
      </c>
      <c r="H93" s="18" t="s">
        <v>51</v>
      </c>
      <c r="I93" s="18">
        <v>1</v>
      </c>
      <c r="J93" s="144" t="s">
        <v>2409</v>
      </c>
      <c r="K93" s="167" t="s">
        <v>3404</v>
      </c>
    </row>
    <row r="94" spans="1:11" ht="23.25" customHeight="1" x14ac:dyDescent="0.3">
      <c r="A94" s="129">
        <v>32</v>
      </c>
      <c r="B94" s="20" t="s">
        <v>3203</v>
      </c>
      <c r="C94" s="16"/>
      <c r="D94" s="16" t="s">
        <v>3011</v>
      </c>
      <c r="E94" s="18" t="s">
        <v>3220</v>
      </c>
      <c r="F94" s="101" t="s">
        <v>3221</v>
      </c>
      <c r="G94" s="108" t="s">
        <v>2989</v>
      </c>
      <c r="H94" s="108" t="s">
        <v>51</v>
      </c>
      <c r="I94" s="39">
        <v>6</v>
      </c>
      <c r="J94" s="145" t="s">
        <v>3222</v>
      </c>
      <c r="K94" s="175" t="s">
        <v>3405</v>
      </c>
    </row>
    <row r="95" spans="1:11" ht="23.25" customHeight="1" x14ac:dyDescent="0.3">
      <c r="A95" s="20">
        <v>33</v>
      </c>
      <c r="B95" s="20" t="s">
        <v>3203</v>
      </c>
      <c r="C95" s="16"/>
      <c r="D95" s="16" t="s">
        <v>3011</v>
      </c>
      <c r="E95" s="20" t="s">
        <v>3223</v>
      </c>
      <c r="F95" s="18" t="s">
        <v>3224</v>
      </c>
      <c r="G95" s="18" t="s">
        <v>3225</v>
      </c>
      <c r="H95" s="18" t="s">
        <v>51</v>
      </c>
      <c r="I95" s="18">
        <v>10</v>
      </c>
      <c r="J95" s="18" t="s">
        <v>3226</v>
      </c>
      <c r="K95" s="167" t="s">
        <v>3406</v>
      </c>
    </row>
    <row r="96" spans="1:11" ht="23.25" customHeight="1" x14ac:dyDescent="0.3">
      <c r="A96" s="129">
        <v>34</v>
      </c>
      <c r="B96" s="20" t="s">
        <v>3203</v>
      </c>
      <c r="C96" s="16"/>
      <c r="D96" s="16" t="s">
        <v>3011</v>
      </c>
      <c r="E96" s="20" t="s">
        <v>3227</v>
      </c>
      <c r="F96" s="18" t="s">
        <v>3228</v>
      </c>
      <c r="G96" s="18" t="s">
        <v>2987</v>
      </c>
      <c r="H96" s="18" t="s">
        <v>51</v>
      </c>
      <c r="I96" s="39">
        <v>6</v>
      </c>
      <c r="J96" s="18" t="s">
        <v>3229</v>
      </c>
      <c r="K96" s="166" t="s">
        <v>3407</v>
      </c>
    </row>
    <row r="97" spans="1:11" ht="23.25" customHeight="1" x14ac:dyDescent="0.3">
      <c r="A97" s="129">
        <v>35</v>
      </c>
      <c r="B97" s="20" t="s">
        <v>3203</v>
      </c>
      <c r="C97" s="16"/>
      <c r="D97" s="16" t="s">
        <v>3011</v>
      </c>
      <c r="E97" s="20" t="s">
        <v>3230</v>
      </c>
      <c r="F97" s="18" t="s">
        <v>3231</v>
      </c>
      <c r="G97" s="18" t="s">
        <v>3232</v>
      </c>
      <c r="H97" s="18" t="s">
        <v>51</v>
      </c>
      <c r="I97" s="18">
        <v>4</v>
      </c>
      <c r="J97" s="18" t="s">
        <v>3233</v>
      </c>
      <c r="K97" s="166" t="s">
        <v>3408</v>
      </c>
    </row>
    <row r="98" spans="1:11" ht="23.25" customHeight="1" x14ac:dyDescent="0.3">
      <c r="A98" s="20">
        <v>36</v>
      </c>
      <c r="B98" s="20" t="s">
        <v>3203</v>
      </c>
      <c r="C98" s="16"/>
      <c r="D98" s="16" t="s">
        <v>3011</v>
      </c>
      <c r="E98" s="20" t="s">
        <v>3234</v>
      </c>
      <c r="F98" s="18" t="s">
        <v>3235</v>
      </c>
      <c r="G98" s="18" t="s">
        <v>3236</v>
      </c>
      <c r="H98" s="18" t="s">
        <v>34</v>
      </c>
      <c r="I98" s="18">
        <v>10</v>
      </c>
      <c r="J98" s="18" t="s">
        <v>3237</v>
      </c>
      <c r="K98" s="166" t="s">
        <v>3407</v>
      </c>
    </row>
    <row r="99" spans="1:11" ht="23.25" customHeight="1" x14ac:dyDescent="0.3">
      <c r="A99" s="20">
        <v>37</v>
      </c>
      <c r="B99" s="20" t="s">
        <v>3203</v>
      </c>
      <c r="C99" s="16" t="s">
        <v>3238</v>
      </c>
      <c r="D99" s="16" t="s">
        <v>3011</v>
      </c>
      <c r="E99" s="20" t="s">
        <v>2433</v>
      </c>
      <c r="F99" s="18" t="s">
        <v>2434</v>
      </c>
      <c r="G99" s="18" t="s">
        <v>3239</v>
      </c>
      <c r="H99" s="18" t="s">
        <v>51</v>
      </c>
      <c r="I99" s="18">
        <v>6</v>
      </c>
      <c r="J99" s="18" t="s">
        <v>2439</v>
      </c>
      <c r="K99" s="166" t="s">
        <v>3408</v>
      </c>
    </row>
    <row r="100" spans="1:11" ht="23.25" customHeight="1" x14ac:dyDescent="0.3">
      <c r="A100" s="129">
        <v>38</v>
      </c>
      <c r="B100" s="20" t="s">
        <v>3203</v>
      </c>
      <c r="C100" s="16" t="s">
        <v>3240</v>
      </c>
      <c r="D100" s="16" t="s">
        <v>3011</v>
      </c>
      <c r="E100" s="38" t="s">
        <v>2244</v>
      </c>
      <c r="F100" s="18" t="s">
        <v>2245</v>
      </c>
      <c r="G100" s="18" t="s">
        <v>2246</v>
      </c>
      <c r="H100" s="18" t="s">
        <v>51</v>
      </c>
      <c r="I100" s="18">
        <v>6</v>
      </c>
      <c r="J100" s="18" t="s">
        <v>2249</v>
      </c>
      <c r="K100" s="176" t="s">
        <v>3409</v>
      </c>
    </row>
    <row r="101" spans="1:11" ht="23.25" customHeight="1" x14ac:dyDescent="0.3">
      <c r="A101" s="20">
        <v>39</v>
      </c>
      <c r="B101" s="20" t="s">
        <v>3203</v>
      </c>
      <c r="C101" s="16"/>
      <c r="D101" s="16" t="s">
        <v>3011</v>
      </c>
      <c r="E101" s="17" t="s">
        <v>2317</v>
      </c>
      <c r="F101" s="38" t="s">
        <v>2318</v>
      </c>
      <c r="G101" s="38" t="s">
        <v>2334</v>
      </c>
      <c r="H101" s="38" t="s">
        <v>34</v>
      </c>
      <c r="I101" s="38">
        <v>7</v>
      </c>
      <c r="J101" s="38" t="s">
        <v>2323</v>
      </c>
      <c r="K101" s="176" t="s">
        <v>3410</v>
      </c>
    </row>
    <row r="102" spans="1:11" ht="23.25" customHeight="1" thickBot="1" x14ac:dyDescent="0.35">
      <c r="A102" s="146">
        <v>40</v>
      </c>
      <c r="B102" s="123" t="s">
        <v>3203</v>
      </c>
      <c r="C102" s="126" t="s">
        <v>3241</v>
      </c>
      <c r="D102" s="126" t="s">
        <v>3011</v>
      </c>
      <c r="E102" s="127" t="s">
        <v>3242</v>
      </c>
      <c r="F102" s="127" t="s">
        <v>3243</v>
      </c>
      <c r="G102" s="127" t="s">
        <v>1001</v>
      </c>
      <c r="H102" s="127" t="s">
        <v>34</v>
      </c>
      <c r="I102" s="127">
        <v>8</v>
      </c>
      <c r="J102" s="127" t="s">
        <v>3244</v>
      </c>
      <c r="K102" s="173" t="s">
        <v>3411</v>
      </c>
    </row>
    <row r="103" spans="1:11" ht="23.25" customHeight="1" thickTop="1" x14ac:dyDescent="0.3">
      <c r="A103" s="129">
        <v>41</v>
      </c>
      <c r="B103" s="129" t="s">
        <v>3245</v>
      </c>
      <c r="C103" s="132"/>
      <c r="D103" s="132" t="s">
        <v>3043</v>
      </c>
      <c r="E103" s="104" t="s">
        <v>3246</v>
      </c>
      <c r="F103" s="148" t="s">
        <v>3247</v>
      </c>
      <c r="G103" s="149" t="s">
        <v>3150</v>
      </c>
      <c r="H103" s="150" t="s">
        <v>34</v>
      </c>
      <c r="I103" s="104">
        <v>8</v>
      </c>
      <c r="J103" s="149" t="s">
        <v>3248</v>
      </c>
      <c r="K103" s="177" t="s">
        <v>3412</v>
      </c>
    </row>
    <row r="104" spans="1:11" ht="23.25" customHeight="1" x14ac:dyDescent="0.3">
      <c r="A104" s="20">
        <v>42</v>
      </c>
      <c r="B104" s="20" t="s">
        <v>3245</v>
      </c>
      <c r="C104" s="16" t="s">
        <v>3249</v>
      </c>
      <c r="D104" s="16" t="s">
        <v>3043</v>
      </c>
      <c r="E104" s="37" t="s">
        <v>2072</v>
      </c>
      <c r="F104" s="37" t="s">
        <v>2073</v>
      </c>
      <c r="G104" s="37" t="s">
        <v>2074</v>
      </c>
      <c r="H104" s="37" t="s">
        <v>34</v>
      </c>
      <c r="I104" s="18">
        <v>1</v>
      </c>
      <c r="J104" s="50" t="s">
        <v>2077</v>
      </c>
      <c r="K104" s="178" t="s">
        <v>3389</v>
      </c>
    </row>
    <row r="105" spans="1:11" ht="23.25" customHeight="1" x14ac:dyDescent="0.3">
      <c r="A105" s="129">
        <v>43</v>
      </c>
      <c r="B105" s="20" t="s">
        <v>3245</v>
      </c>
      <c r="C105" s="16" t="s">
        <v>3249</v>
      </c>
      <c r="D105" s="16" t="s">
        <v>3043</v>
      </c>
      <c r="E105" s="37" t="s">
        <v>2084</v>
      </c>
      <c r="F105" s="38" t="s">
        <v>2085</v>
      </c>
      <c r="G105" s="38" t="s">
        <v>2086</v>
      </c>
      <c r="H105" s="38" t="s">
        <v>51</v>
      </c>
      <c r="I105" s="117">
        <v>6</v>
      </c>
      <c r="J105" s="151" t="s">
        <v>2088</v>
      </c>
      <c r="K105" s="176" t="s">
        <v>3389</v>
      </c>
    </row>
    <row r="106" spans="1:11" ht="23.25" customHeight="1" x14ac:dyDescent="0.3">
      <c r="A106" s="129">
        <v>44</v>
      </c>
      <c r="B106" s="20" t="s">
        <v>3245</v>
      </c>
      <c r="C106" s="16" t="s">
        <v>3250</v>
      </c>
      <c r="D106" s="16" t="s">
        <v>3011</v>
      </c>
      <c r="E106" s="17" t="s">
        <v>3251</v>
      </c>
      <c r="F106" s="38" t="s">
        <v>3252</v>
      </c>
      <c r="G106" s="38" t="s">
        <v>3253</v>
      </c>
      <c r="H106" s="38" t="s">
        <v>51</v>
      </c>
      <c r="I106" s="38">
        <v>10</v>
      </c>
      <c r="J106" s="38" t="s">
        <v>3254</v>
      </c>
      <c r="K106" s="176" t="s">
        <v>3413</v>
      </c>
    </row>
    <row r="107" spans="1:11" ht="23.25" customHeight="1" x14ac:dyDescent="0.3">
      <c r="A107" s="20">
        <v>45</v>
      </c>
      <c r="B107" s="20" t="s">
        <v>3245</v>
      </c>
      <c r="C107" s="16" t="s">
        <v>3255</v>
      </c>
      <c r="D107" s="16" t="s">
        <v>3011</v>
      </c>
      <c r="E107" s="18" t="s">
        <v>3256</v>
      </c>
      <c r="F107" s="18" t="s">
        <v>3257</v>
      </c>
      <c r="G107" s="18" t="s">
        <v>1256</v>
      </c>
      <c r="H107" s="18" t="s">
        <v>34</v>
      </c>
      <c r="I107" s="39">
        <v>9</v>
      </c>
      <c r="J107" s="18" t="s">
        <v>3258</v>
      </c>
      <c r="K107" s="175" t="s">
        <v>3415</v>
      </c>
    </row>
    <row r="108" spans="1:11" ht="23.25" customHeight="1" x14ac:dyDescent="0.3">
      <c r="A108" s="129">
        <v>46</v>
      </c>
      <c r="B108" s="20" t="s">
        <v>3245</v>
      </c>
      <c r="C108" s="16" t="s">
        <v>3259</v>
      </c>
      <c r="D108" s="16" t="s">
        <v>3043</v>
      </c>
      <c r="E108" s="18" t="s">
        <v>3260</v>
      </c>
      <c r="F108" s="38" t="s">
        <v>3261</v>
      </c>
      <c r="G108" s="38" t="s">
        <v>3158</v>
      </c>
      <c r="H108" s="38" t="s">
        <v>34</v>
      </c>
      <c r="I108" s="38">
        <v>4</v>
      </c>
      <c r="J108" s="38" t="s">
        <v>3262</v>
      </c>
      <c r="K108" s="175" t="s">
        <v>3415</v>
      </c>
    </row>
    <row r="109" spans="1:11" ht="23.25" customHeight="1" x14ac:dyDescent="0.3">
      <c r="A109" s="129">
        <v>47</v>
      </c>
      <c r="B109" s="20" t="s">
        <v>3245</v>
      </c>
      <c r="C109" s="16" t="s">
        <v>3263</v>
      </c>
      <c r="D109" s="29" t="s">
        <v>3043</v>
      </c>
      <c r="E109" s="17" t="s">
        <v>2332</v>
      </c>
      <c r="F109" s="18" t="s">
        <v>2333</v>
      </c>
      <c r="G109" s="18" t="s">
        <v>3264</v>
      </c>
      <c r="H109" s="18" t="s">
        <v>34</v>
      </c>
      <c r="I109" s="18">
        <v>6</v>
      </c>
      <c r="J109" s="31" t="s">
        <v>2337</v>
      </c>
      <c r="K109" s="110" t="s">
        <v>2331</v>
      </c>
    </row>
    <row r="110" spans="1:11" ht="23.25" customHeight="1" x14ac:dyDescent="0.3">
      <c r="A110" s="20">
        <v>48</v>
      </c>
      <c r="B110" s="20" t="s">
        <v>3245</v>
      </c>
      <c r="C110" s="16" t="s">
        <v>3265</v>
      </c>
      <c r="D110" s="16" t="s">
        <v>3011</v>
      </c>
      <c r="E110" s="17" t="s">
        <v>2554</v>
      </c>
      <c r="F110" s="38" t="s">
        <v>2555</v>
      </c>
      <c r="G110" s="38" t="s">
        <v>2556</v>
      </c>
      <c r="H110" s="38" t="s">
        <v>34</v>
      </c>
      <c r="I110" s="38">
        <v>9</v>
      </c>
      <c r="J110" s="38" t="s">
        <v>2559</v>
      </c>
      <c r="K110" s="176" t="s">
        <v>3482</v>
      </c>
    </row>
    <row r="111" spans="1:11" ht="23.25" customHeight="1" x14ac:dyDescent="0.3">
      <c r="A111" s="129">
        <v>49</v>
      </c>
      <c r="B111" s="20" t="s">
        <v>3245</v>
      </c>
      <c r="C111" s="16" t="s">
        <v>3266</v>
      </c>
      <c r="D111" s="16" t="s">
        <v>3011</v>
      </c>
      <c r="E111" s="18" t="s">
        <v>3267</v>
      </c>
      <c r="F111" s="101" t="s">
        <v>3268</v>
      </c>
      <c r="G111" s="108" t="s">
        <v>2545</v>
      </c>
      <c r="H111" s="108" t="s">
        <v>34</v>
      </c>
      <c r="I111" s="39">
        <v>6</v>
      </c>
      <c r="J111" s="108" t="s">
        <v>3269</v>
      </c>
      <c r="K111" s="163" t="s">
        <v>3433</v>
      </c>
    </row>
    <row r="112" spans="1:11" ht="23.25" customHeight="1" x14ac:dyDescent="0.3">
      <c r="A112" s="129">
        <v>50</v>
      </c>
      <c r="B112" s="20" t="s">
        <v>3245</v>
      </c>
      <c r="C112" s="16" t="s">
        <v>3185</v>
      </c>
      <c r="D112" s="16" t="s">
        <v>3011</v>
      </c>
      <c r="E112" s="18" t="s">
        <v>3270</v>
      </c>
      <c r="F112" s="101" t="s">
        <v>3271</v>
      </c>
      <c r="G112" s="108" t="s">
        <v>275</v>
      </c>
      <c r="H112" s="38" t="s">
        <v>51</v>
      </c>
      <c r="I112" s="108">
        <v>6</v>
      </c>
      <c r="J112" s="39" t="s">
        <v>3147</v>
      </c>
      <c r="K112" s="163" t="s">
        <v>3433</v>
      </c>
    </row>
    <row r="113" spans="1:11" ht="23.25" customHeight="1" x14ac:dyDescent="0.3">
      <c r="A113" s="129">
        <v>51</v>
      </c>
      <c r="B113" s="20" t="s">
        <v>3245</v>
      </c>
      <c r="C113" s="16" t="s">
        <v>3208</v>
      </c>
      <c r="D113" s="16" t="s">
        <v>3043</v>
      </c>
      <c r="E113" s="17" t="s">
        <v>3273</v>
      </c>
      <c r="F113" s="38" t="s">
        <v>3274</v>
      </c>
      <c r="G113" s="38" t="s">
        <v>854</v>
      </c>
      <c r="H113" s="38" t="s">
        <v>51</v>
      </c>
      <c r="I113" s="38">
        <v>9</v>
      </c>
      <c r="J113" s="38" t="s">
        <v>3275</v>
      </c>
      <c r="K113" s="163" t="s">
        <v>3433</v>
      </c>
    </row>
    <row r="114" spans="1:11" ht="23.25" customHeight="1" x14ac:dyDescent="0.3">
      <c r="A114" s="129">
        <v>52</v>
      </c>
      <c r="B114" s="20" t="s">
        <v>3245</v>
      </c>
      <c r="C114" s="16" t="s">
        <v>3276</v>
      </c>
      <c r="D114" s="16" t="s">
        <v>3043</v>
      </c>
      <c r="E114" s="18" t="s">
        <v>3277</v>
      </c>
      <c r="F114" s="38" t="s">
        <v>3278</v>
      </c>
      <c r="G114" s="38" t="s">
        <v>3279</v>
      </c>
      <c r="H114" s="38" t="s">
        <v>51</v>
      </c>
      <c r="I114" s="38">
        <v>10</v>
      </c>
      <c r="J114" s="38" t="s">
        <v>3280</v>
      </c>
      <c r="K114" s="164" t="s">
        <v>3281</v>
      </c>
    </row>
    <row r="115" spans="1:11" ht="23.25" customHeight="1" x14ac:dyDescent="0.3">
      <c r="A115" s="20">
        <v>53</v>
      </c>
      <c r="B115" s="20" t="s">
        <v>3245</v>
      </c>
      <c r="C115" s="16" t="s">
        <v>3282</v>
      </c>
      <c r="D115" s="16" t="s">
        <v>3043</v>
      </c>
      <c r="E115" s="18" t="s">
        <v>3283</v>
      </c>
      <c r="F115" s="101" t="s">
        <v>3284</v>
      </c>
      <c r="G115" s="108" t="s">
        <v>3285</v>
      </c>
      <c r="H115" s="108" t="s">
        <v>34</v>
      </c>
      <c r="I115" s="18">
        <v>5</v>
      </c>
      <c r="J115" s="145" t="s">
        <v>3286</v>
      </c>
      <c r="K115" s="163" t="s">
        <v>3464</v>
      </c>
    </row>
    <row r="116" spans="1:11" ht="23.25" customHeight="1" x14ac:dyDescent="0.3">
      <c r="A116" s="20">
        <v>54</v>
      </c>
      <c r="B116" s="20" t="s">
        <v>3245</v>
      </c>
      <c r="C116" s="16" t="s">
        <v>3265</v>
      </c>
      <c r="D116" s="16" t="s">
        <v>3011</v>
      </c>
      <c r="E116" s="18" t="s">
        <v>2572</v>
      </c>
      <c r="F116" s="101" t="s">
        <v>2573</v>
      </c>
      <c r="G116" s="108"/>
      <c r="H116" s="108" t="s">
        <v>51</v>
      </c>
      <c r="I116" s="18">
        <v>11</v>
      </c>
      <c r="J116" s="145" t="s">
        <v>2576</v>
      </c>
      <c r="K116" s="163" t="s">
        <v>3272</v>
      </c>
    </row>
    <row r="117" spans="1:11" ht="23.25" customHeight="1" x14ac:dyDescent="0.3">
      <c r="A117" s="129">
        <v>55</v>
      </c>
      <c r="B117" s="20" t="s">
        <v>3245</v>
      </c>
      <c r="C117" s="16" t="s">
        <v>3179</v>
      </c>
      <c r="D117" s="16" t="s">
        <v>3011</v>
      </c>
      <c r="E117" s="20" t="s">
        <v>3287</v>
      </c>
      <c r="F117" s="38" t="s">
        <v>3288</v>
      </c>
      <c r="G117" s="38" t="s">
        <v>3289</v>
      </c>
      <c r="H117" s="38" t="s">
        <v>51</v>
      </c>
      <c r="I117" s="38">
        <v>4</v>
      </c>
      <c r="J117" s="38" t="s">
        <v>3290</v>
      </c>
      <c r="K117" s="163" t="s">
        <v>3272</v>
      </c>
    </row>
    <row r="118" spans="1:11" ht="23.25" customHeight="1" x14ac:dyDescent="0.3">
      <c r="A118" s="129">
        <v>56</v>
      </c>
      <c r="B118" s="20" t="s">
        <v>3245</v>
      </c>
      <c r="C118" s="16" t="s">
        <v>3291</v>
      </c>
      <c r="D118" s="16" t="s">
        <v>3011</v>
      </c>
      <c r="E118" s="17" t="s">
        <v>2449</v>
      </c>
      <c r="F118" s="18" t="s">
        <v>2450</v>
      </c>
      <c r="G118" s="18" t="s">
        <v>2451</v>
      </c>
      <c r="H118" s="18" t="s">
        <v>51</v>
      </c>
      <c r="I118" s="18">
        <v>5</v>
      </c>
      <c r="J118" s="31" t="s">
        <v>2454</v>
      </c>
      <c r="K118" s="110" t="s">
        <v>3465</v>
      </c>
    </row>
    <row r="119" spans="1:11" ht="23.25" customHeight="1" x14ac:dyDescent="0.3">
      <c r="A119" s="129">
        <v>57</v>
      </c>
      <c r="B119" s="20" t="s">
        <v>3245</v>
      </c>
      <c r="C119" s="16" t="s">
        <v>3282</v>
      </c>
      <c r="D119" s="16" t="s">
        <v>3043</v>
      </c>
      <c r="E119" s="17" t="s">
        <v>2523</v>
      </c>
      <c r="F119" s="38" t="s">
        <v>3292</v>
      </c>
      <c r="G119" s="38" t="s">
        <v>2525</v>
      </c>
      <c r="H119" s="38" t="s">
        <v>51</v>
      </c>
      <c r="I119" s="38">
        <v>1</v>
      </c>
      <c r="J119" s="152" t="s">
        <v>2527</v>
      </c>
      <c r="K119" s="110" t="s">
        <v>3465</v>
      </c>
    </row>
    <row r="120" spans="1:11" ht="23.25" customHeight="1" x14ac:dyDescent="0.3">
      <c r="A120" s="20">
        <v>58</v>
      </c>
      <c r="B120" s="20" t="s">
        <v>3245</v>
      </c>
      <c r="C120" s="16" t="s">
        <v>3282</v>
      </c>
      <c r="D120" s="16" t="s">
        <v>3043</v>
      </c>
      <c r="E120" s="38" t="s">
        <v>2512</v>
      </c>
      <c r="F120" s="38" t="s">
        <v>3293</v>
      </c>
      <c r="G120" s="38" t="s">
        <v>1730</v>
      </c>
      <c r="H120" s="38" t="s">
        <v>34</v>
      </c>
      <c r="I120" s="38">
        <v>5</v>
      </c>
      <c r="J120" s="152" t="s">
        <v>2517</v>
      </c>
      <c r="K120" s="110" t="s">
        <v>3465</v>
      </c>
    </row>
    <row r="121" spans="1:11" ht="23.25" customHeight="1" thickBot="1" x14ac:dyDescent="0.35">
      <c r="A121" s="123">
        <v>59</v>
      </c>
      <c r="B121" s="123" t="s">
        <v>3245</v>
      </c>
      <c r="C121" s="126" t="s">
        <v>3179</v>
      </c>
      <c r="D121" s="126" t="s">
        <v>3011</v>
      </c>
      <c r="E121" s="147" t="s">
        <v>3129</v>
      </c>
      <c r="F121" s="147" t="s">
        <v>3130</v>
      </c>
      <c r="G121" s="147" t="s">
        <v>3294</v>
      </c>
      <c r="H121" s="147" t="s">
        <v>34</v>
      </c>
      <c r="I121" s="147">
        <v>6</v>
      </c>
      <c r="J121" s="153" t="s">
        <v>3295</v>
      </c>
      <c r="K121" s="110" t="s">
        <v>3465</v>
      </c>
    </row>
    <row r="122" spans="1:11" ht="23.25" customHeight="1" thickTop="1" x14ac:dyDescent="0.3">
      <c r="A122" s="129">
        <v>60</v>
      </c>
      <c r="B122" s="129" t="s">
        <v>3296</v>
      </c>
      <c r="C122" s="132" t="s">
        <v>3291</v>
      </c>
      <c r="D122" s="132" t="s">
        <v>3011</v>
      </c>
      <c r="E122" s="87" t="s">
        <v>2529</v>
      </c>
      <c r="F122" s="104" t="s">
        <v>2530</v>
      </c>
      <c r="G122" s="104" t="s">
        <v>2531</v>
      </c>
      <c r="H122" s="104" t="s">
        <v>51</v>
      </c>
      <c r="I122" s="104">
        <v>8</v>
      </c>
      <c r="J122" s="104" t="s">
        <v>2535</v>
      </c>
      <c r="K122" s="110" t="s">
        <v>3465</v>
      </c>
    </row>
    <row r="123" spans="1:11" ht="23.25" customHeight="1" x14ac:dyDescent="0.3">
      <c r="A123" s="129">
        <v>61</v>
      </c>
      <c r="B123" s="20" t="s">
        <v>3296</v>
      </c>
      <c r="C123" s="16" t="s">
        <v>3282</v>
      </c>
      <c r="D123" s="16" t="s">
        <v>3043</v>
      </c>
      <c r="E123" s="101" t="s">
        <v>3297</v>
      </c>
      <c r="F123" s="39" t="s">
        <v>3298</v>
      </c>
      <c r="G123" s="39" t="s">
        <v>3299</v>
      </c>
      <c r="H123" s="39" t="s">
        <v>34</v>
      </c>
      <c r="I123" s="39">
        <v>8</v>
      </c>
      <c r="J123" s="154" t="s">
        <v>3300</v>
      </c>
      <c r="K123" s="110" t="s">
        <v>3466</v>
      </c>
    </row>
    <row r="124" spans="1:11" ht="23.25" customHeight="1" x14ac:dyDescent="0.3">
      <c r="A124" s="129">
        <v>62</v>
      </c>
      <c r="B124" s="20" t="s">
        <v>3296</v>
      </c>
      <c r="C124" s="16" t="s">
        <v>3301</v>
      </c>
      <c r="D124" s="16" t="s">
        <v>3011</v>
      </c>
      <c r="E124" s="101" t="s">
        <v>2585</v>
      </c>
      <c r="F124" s="39" t="s">
        <v>2597</v>
      </c>
      <c r="G124" s="39" t="s">
        <v>204</v>
      </c>
      <c r="H124" s="39" t="s">
        <v>51</v>
      </c>
      <c r="I124" s="39">
        <v>9</v>
      </c>
      <c r="J124" s="154" t="s">
        <v>2588</v>
      </c>
      <c r="K124" s="110" t="s">
        <v>3480</v>
      </c>
    </row>
    <row r="125" spans="1:11" ht="23.25" customHeight="1" x14ac:dyDescent="0.3">
      <c r="A125" s="129">
        <v>63</v>
      </c>
      <c r="B125" s="20" t="s">
        <v>3296</v>
      </c>
      <c r="C125" s="16" t="s">
        <v>3291</v>
      </c>
      <c r="D125" s="16" t="s">
        <v>3011</v>
      </c>
      <c r="E125" s="120" t="s">
        <v>3302</v>
      </c>
      <c r="F125" s="155" t="s">
        <v>3303</v>
      </c>
      <c r="G125" s="155" t="s">
        <v>3304</v>
      </c>
      <c r="H125" s="155" t="s">
        <v>34</v>
      </c>
      <c r="I125" s="155">
        <v>8</v>
      </c>
      <c r="J125" s="156" t="s">
        <v>3305</v>
      </c>
      <c r="K125" s="110" t="s">
        <v>3480</v>
      </c>
    </row>
    <row r="126" spans="1:11" ht="23.25" customHeight="1" x14ac:dyDescent="0.3">
      <c r="A126" s="20">
        <v>64</v>
      </c>
      <c r="B126" s="20" t="s">
        <v>3296</v>
      </c>
      <c r="C126" s="16" t="s">
        <v>3306</v>
      </c>
      <c r="D126" s="16" t="s">
        <v>3043</v>
      </c>
      <c r="E126" s="17" t="s">
        <v>652</v>
      </c>
      <c r="F126" s="18" t="s">
        <v>653</v>
      </c>
      <c r="G126" s="18" t="s">
        <v>654</v>
      </c>
      <c r="H126" s="18" t="s">
        <v>34</v>
      </c>
      <c r="I126" s="18">
        <v>4</v>
      </c>
      <c r="J126" s="18" t="s">
        <v>657</v>
      </c>
      <c r="K126" s="110" t="s">
        <v>3467</v>
      </c>
    </row>
    <row r="127" spans="1:11" ht="23.25" customHeight="1" x14ac:dyDescent="0.3">
      <c r="A127" s="20">
        <v>65</v>
      </c>
      <c r="B127" s="20" t="s">
        <v>3296</v>
      </c>
      <c r="C127" s="16" t="s">
        <v>3307</v>
      </c>
      <c r="D127" s="16" t="s">
        <v>3011</v>
      </c>
      <c r="E127" s="17" t="s">
        <v>2701</v>
      </c>
      <c r="F127" s="18" t="s">
        <v>2702</v>
      </c>
      <c r="G127" s="18" t="s">
        <v>2703</v>
      </c>
      <c r="H127" s="18" t="s">
        <v>51</v>
      </c>
      <c r="I127" s="18">
        <v>5</v>
      </c>
      <c r="J127" s="18" t="s">
        <v>2706</v>
      </c>
      <c r="K127" s="110" t="s">
        <v>3468</v>
      </c>
    </row>
    <row r="128" spans="1:11" ht="23.25" customHeight="1" x14ac:dyDescent="0.3">
      <c r="A128" s="129">
        <v>66</v>
      </c>
      <c r="B128" s="20" t="s">
        <v>3296</v>
      </c>
      <c r="C128" s="16" t="s">
        <v>3308</v>
      </c>
      <c r="D128" s="16" t="s">
        <v>3011</v>
      </c>
      <c r="E128" s="17" t="s">
        <v>2390</v>
      </c>
      <c r="F128" s="18" t="s">
        <v>2391</v>
      </c>
      <c r="G128" s="18" t="s">
        <v>404</v>
      </c>
      <c r="H128" s="18" t="s">
        <v>34</v>
      </c>
      <c r="I128" s="18">
        <v>7</v>
      </c>
      <c r="J128" s="31" t="s">
        <v>2395</v>
      </c>
      <c r="K128" s="110" t="s">
        <v>2372</v>
      </c>
    </row>
    <row r="129" spans="1:11" ht="23.25" customHeight="1" thickBot="1" x14ac:dyDescent="0.35">
      <c r="A129" s="146">
        <v>67</v>
      </c>
      <c r="B129" s="123" t="s">
        <v>3296</v>
      </c>
      <c r="C129" s="126" t="s">
        <v>3308</v>
      </c>
      <c r="D129" s="126" t="s">
        <v>3011</v>
      </c>
      <c r="E129" s="143" t="s">
        <v>2750</v>
      </c>
      <c r="F129" s="127" t="s">
        <v>2751</v>
      </c>
      <c r="G129" s="127"/>
      <c r="H129" s="127" t="s">
        <v>51</v>
      </c>
      <c r="I129" s="127">
        <v>9</v>
      </c>
      <c r="J129" s="157" t="s">
        <v>2754</v>
      </c>
      <c r="K129" s="161" t="s">
        <v>2748</v>
      </c>
    </row>
    <row r="130" spans="1:11" ht="23.25" customHeight="1" thickTop="1" x14ac:dyDescent="0.3">
      <c r="A130" s="129">
        <v>68</v>
      </c>
      <c r="B130" s="129" t="s">
        <v>3309</v>
      </c>
      <c r="C130" s="132" t="s">
        <v>3179</v>
      </c>
      <c r="D130" s="132" t="s">
        <v>3011</v>
      </c>
      <c r="E130" s="158" t="s">
        <v>3310</v>
      </c>
      <c r="F130" s="104" t="s">
        <v>1905</v>
      </c>
      <c r="G130" s="104" t="s">
        <v>700</v>
      </c>
      <c r="H130" s="104" t="s">
        <v>34</v>
      </c>
      <c r="I130" s="104">
        <v>7</v>
      </c>
      <c r="J130" s="129" t="s">
        <v>1909</v>
      </c>
      <c r="K130" s="162" t="s">
        <v>3380</v>
      </c>
    </row>
    <row r="131" spans="1:11" ht="23.25" customHeight="1" x14ac:dyDescent="0.3">
      <c r="A131" s="20">
        <v>69</v>
      </c>
      <c r="B131" s="129" t="s">
        <v>3309</v>
      </c>
      <c r="C131" s="16" t="s">
        <v>3311</v>
      </c>
      <c r="D131" s="16" t="s">
        <v>3011</v>
      </c>
      <c r="E131" s="17" t="s">
        <v>3312</v>
      </c>
      <c r="F131" s="18" t="s">
        <v>3313</v>
      </c>
      <c r="G131" s="18" t="s">
        <v>3314</v>
      </c>
      <c r="H131" s="18" t="s">
        <v>51</v>
      </c>
      <c r="I131" s="18">
        <v>9</v>
      </c>
      <c r="J131" s="20" t="s">
        <v>3315</v>
      </c>
      <c r="K131" s="110" t="s">
        <v>3469</v>
      </c>
    </row>
    <row r="132" spans="1:11" ht="23.25" customHeight="1" x14ac:dyDescent="0.3">
      <c r="A132" s="20">
        <v>70</v>
      </c>
      <c r="B132" s="129" t="s">
        <v>3309</v>
      </c>
      <c r="C132" s="16" t="s">
        <v>3316</v>
      </c>
      <c r="D132" s="16" t="s">
        <v>3317</v>
      </c>
      <c r="E132" s="20" t="s">
        <v>2985</v>
      </c>
      <c r="F132" s="18" t="s">
        <v>2986</v>
      </c>
      <c r="G132" s="18" t="s">
        <v>2987</v>
      </c>
      <c r="H132" s="18" t="s">
        <v>51</v>
      </c>
      <c r="I132" s="18">
        <v>12</v>
      </c>
      <c r="J132" s="20" t="s">
        <v>2988</v>
      </c>
      <c r="K132" s="110" t="s">
        <v>3469</v>
      </c>
    </row>
    <row r="133" spans="1:11" ht="23.25" customHeight="1" x14ac:dyDescent="0.3">
      <c r="A133" s="129">
        <v>71</v>
      </c>
      <c r="B133" s="129" t="s">
        <v>3309</v>
      </c>
      <c r="C133" s="16" t="s">
        <v>3291</v>
      </c>
      <c r="D133" s="16" t="s">
        <v>3011</v>
      </c>
      <c r="E133" s="17" t="s">
        <v>2464</v>
      </c>
      <c r="F133" s="18" t="s">
        <v>3318</v>
      </c>
      <c r="G133" s="18" t="s">
        <v>2466</v>
      </c>
      <c r="H133" s="18" t="s">
        <v>34</v>
      </c>
      <c r="I133" s="18">
        <v>6</v>
      </c>
      <c r="J133" s="20" t="s">
        <v>2470</v>
      </c>
      <c r="K133" s="110" t="s">
        <v>3470</v>
      </c>
    </row>
    <row r="134" spans="1:11" ht="23.25" customHeight="1" x14ac:dyDescent="0.3">
      <c r="A134" s="129">
        <v>72</v>
      </c>
      <c r="B134" s="129" t="s">
        <v>3309</v>
      </c>
      <c r="C134" s="16" t="s">
        <v>3319</v>
      </c>
      <c r="D134" s="16" t="s">
        <v>3043</v>
      </c>
      <c r="E134" s="17" t="s">
        <v>2497</v>
      </c>
      <c r="F134" s="18" t="s">
        <v>3320</v>
      </c>
      <c r="G134" s="18" t="s">
        <v>2499</v>
      </c>
      <c r="H134" s="18" t="s">
        <v>34</v>
      </c>
      <c r="I134" s="18">
        <v>8</v>
      </c>
      <c r="J134" s="20" t="s">
        <v>2503</v>
      </c>
      <c r="K134" s="110" t="s">
        <v>2496</v>
      </c>
    </row>
    <row r="135" spans="1:11" ht="23.25" customHeight="1" x14ac:dyDescent="0.3">
      <c r="A135" s="129">
        <v>73</v>
      </c>
      <c r="B135" s="129" t="s">
        <v>3309</v>
      </c>
      <c r="C135" s="16" t="s">
        <v>3321</v>
      </c>
      <c r="D135" s="16" t="s">
        <v>3043</v>
      </c>
      <c r="E135" s="17" t="s">
        <v>2596</v>
      </c>
      <c r="F135" s="18" t="s">
        <v>2586</v>
      </c>
      <c r="G135" s="18" t="s">
        <v>2598</v>
      </c>
      <c r="H135" s="18" t="s">
        <v>51</v>
      </c>
      <c r="I135" s="18">
        <v>6</v>
      </c>
      <c r="J135" s="20" t="s">
        <v>2599</v>
      </c>
      <c r="K135" s="110" t="s">
        <v>3480</v>
      </c>
    </row>
    <row r="136" spans="1:11" ht="23.25" customHeight="1" thickBot="1" x14ac:dyDescent="0.35">
      <c r="A136" s="146">
        <v>74</v>
      </c>
      <c r="B136" s="146" t="s">
        <v>3309</v>
      </c>
      <c r="C136" s="126" t="s">
        <v>3282</v>
      </c>
      <c r="D136" s="126" t="s">
        <v>3043</v>
      </c>
      <c r="E136" s="134" t="s">
        <v>1995</v>
      </c>
      <c r="F136" s="127" t="s">
        <v>1996</v>
      </c>
      <c r="G136" s="127" t="s">
        <v>1997</v>
      </c>
      <c r="H136" s="127" t="s">
        <v>51</v>
      </c>
      <c r="I136" s="127">
        <v>6</v>
      </c>
      <c r="J136" s="123" t="s">
        <v>1999</v>
      </c>
      <c r="K136" s="110" t="s">
        <v>3420</v>
      </c>
    </row>
    <row r="137" spans="1:11" ht="23.25" customHeight="1" thickTop="1" x14ac:dyDescent="0.3">
      <c r="A137" s="129">
        <v>75</v>
      </c>
      <c r="B137" s="129" t="s">
        <v>3322</v>
      </c>
      <c r="C137" s="132" t="s">
        <v>3323</v>
      </c>
      <c r="D137" s="16" t="s">
        <v>3011</v>
      </c>
      <c r="E137" s="87" t="s">
        <v>2805</v>
      </c>
      <c r="F137" s="104" t="s">
        <v>2806</v>
      </c>
      <c r="G137" s="104" t="s">
        <v>2807</v>
      </c>
      <c r="H137" s="104" t="s">
        <v>51</v>
      </c>
      <c r="I137" s="104">
        <v>4</v>
      </c>
      <c r="J137" s="129" t="s">
        <v>2809</v>
      </c>
      <c r="K137" s="110" t="s">
        <v>3471</v>
      </c>
    </row>
    <row r="138" spans="1:11" ht="23.25" customHeight="1" x14ac:dyDescent="0.3">
      <c r="A138" s="20">
        <v>76</v>
      </c>
      <c r="B138" s="20" t="s">
        <v>3322</v>
      </c>
      <c r="C138" s="16" t="s">
        <v>3323</v>
      </c>
      <c r="D138" s="16" t="s">
        <v>3011</v>
      </c>
      <c r="E138" s="17" t="s">
        <v>2799</v>
      </c>
      <c r="F138" s="18" t="s">
        <v>2800</v>
      </c>
      <c r="G138" s="18" t="s">
        <v>2801</v>
      </c>
      <c r="H138" s="18" t="s">
        <v>34</v>
      </c>
      <c r="I138" s="18">
        <v>6</v>
      </c>
      <c r="J138" s="20" t="s">
        <v>2803</v>
      </c>
      <c r="K138" s="110" t="s">
        <v>3471</v>
      </c>
    </row>
    <row r="139" spans="1:11" ht="23.25" customHeight="1" x14ac:dyDescent="0.3">
      <c r="A139" s="129">
        <v>77</v>
      </c>
      <c r="B139" s="20" t="s">
        <v>3322</v>
      </c>
      <c r="C139" s="16" t="s">
        <v>3323</v>
      </c>
      <c r="D139" s="16" t="s">
        <v>3011</v>
      </c>
      <c r="E139" s="17" t="s">
        <v>2785</v>
      </c>
      <c r="F139" s="18" t="s">
        <v>2786</v>
      </c>
      <c r="G139" s="18" t="s">
        <v>2787</v>
      </c>
      <c r="H139" s="18" t="s">
        <v>34</v>
      </c>
      <c r="I139" s="18">
        <v>10</v>
      </c>
      <c r="J139" s="20" t="s">
        <v>2791</v>
      </c>
      <c r="K139" s="110" t="s">
        <v>3471</v>
      </c>
    </row>
    <row r="140" spans="1:11" ht="23.25" customHeight="1" x14ac:dyDescent="0.3">
      <c r="A140" s="20">
        <v>79</v>
      </c>
      <c r="B140" s="20" t="s">
        <v>3322</v>
      </c>
      <c r="C140" s="16" t="s">
        <v>3192</v>
      </c>
      <c r="D140" s="16" t="s">
        <v>3011</v>
      </c>
      <c r="E140" s="17" t="s">
        <v>2714</v>
      </c>
      <c r="F140" s="18" t="s">
        <v>2715</v>
      </c>
      <c r="G140" s="18" t="s">
        <v>2716</v>
      </c>
      <c r="H140" s="18" t="s">
        <v>34</v>
      </c>
      <c r="I140" s="18">
        <v>6</v>
      </c>
      <c r="J140" s="20" t="s">
        <v>2719</v>
      </c>
      <c r="K140" s="110" t="s">
        <v>3472</v>
      </c>
    </row>
    <row r="141" spans="1:11" ht="23.25" customHeight="1" x14ac:dyDescent="0.3">
      <c r="A141" s="129">
        <v>80</v>
      </c>
      <c r="B141" s="20" t="s">
        <v>3322</v>
      </c>
      <c r="C141" s="16" t="s">
        <v>3324</v>
      </c>
      <c r="D141" s="16" t="s">
        <v>3011</v>
      </c>
      <c r="E141" s="17" t="s">
        <v>3325</v>
      </c>
      <c r="F141" s="37" t="s">
        <v>3326</v>
      </c>
      <c r="G141" s="37" t="s">
        <v>3327</v>
      </c>
      <c r="H141" s="37" t="s">
        <v>51</v>
      </c>
      <c r="I141" s="37">
        <v>11</v>
      </c>
      <c r="J141" s="50" t="s">
        <v>3328</v>
      </c>
      <c r="K141" s="178" t="s">
        <v>3481</v>
      </c>
    </row>
    <row r="142" spans="1:11" ht="23.25" customHeight="1" x14ac:dyDescent="0.3">
      <c r="A142" s="20">
        <v>81</v>
      </c>
      <c r="B142" s="20" t="s">
        <v>3322</v>
      </c>
      <c r="C142" s="16" t="s">
        <v>3141</v>
      </c>
      <c r="D142" s="16" t="s">
        <v>3011</v>
      </c>
      <c r="E142" s="17" t="s">
        <v>2624</v>
      </c>
      <c r="F142" s="18" t="s">
        <v>2625</v>
      </c>
      <c r="G142" s="18" t="s">
        <v>1256</v>
      </c>
      <c r="H142" s="18" t="s">
        <v>34</v>
      </c>
      <c r="I142" s="18">
        <v>6</v>
      </c>
      <c r="J142" s="20" t="s">
        <v>2627</v>
      </c>
      <c r="K142" s="110" t="s">
        <v>2618</v>
      </c>
    </row>
    <row r="143" spans="1:11" ht="23.25" customHeight="1" x14ac:dyDescent="0.3">
      <c r="A143" s="20">
        <v>82</v>
      </c>
      <c r="B143" s="20" t="s">
        <v>3322</v>
      </c>
      <c r="C143" s="16" t="s">
        <v>3329</v>
      </c>
      <c r="D143" s="16" t="s">
        <v>3043</v>
      </c>
      <c r="E143" s="18" t="s">
        <v>2303</v>
      </c>
      <c r="F143" s="37" t="s">
        <v>2304</v>
      </c>
      <c r="G143" s="37" t="s">
        <v>3330</v>
      </c>
      <c r="H143" s="37" t="s">
        <v>51</v>
      </c>
      <c r="I143" s="37">
        <v>11</v>
      </c>
      <c r="J143" s="50" t="s">
        <v>2308</v>
      </c>
      <c r="K143" s="160" t="s">
        <v>3473</v>
      </c>
    </row>
    <row r="144" spans="1:11" ht="23.25" customHeight="1" x14ac:dyDescent="0.3">
      <c r="A144" s="129">
        <v>83</v>
      </c>
      <c r="B144" s="20" t="s">
        <v>3322</v>
      </c>
      <c r="C144" s="16" t="s">
        <v>3331</v>
      </c>
      <c r="D144" s="16" t="s">
        <v>3043</v>
      </c>
      <c r="E144" s="24" t="s">
        <v>2673</v>
      </c>
      <c r="F144" s="37" t="s">
        <v>2674</v>
      </c>
      <c r="G144" s="37" t="s">
        <v>74</v>
      </c>
      <c r="H144" s="37" t="s">
        <v>51</v>
      </c>
      <c r="I144" s="37">
        <v>11</v>
      </c>
      <c r="J144" s="50" t="s">
        <v>2677</v>
      </c>
      <c r="K144" s="160" t="s">
        <v>3474</v>
      </c>
    </row>
    <row r="145" spans="1:11" ht="23.25" customHeight="1" x14ac:dyDescent="0.3">
      <c r="A145" s="20">
        <v>84</v>
      </c>
      <c r="B145" s="20" t="s">
        <v>3322</v>
      </c>
      <c r="C145" s="16" t="s">
        <v>3192</v>
      </c>
      <c r="D145" s="16" t="s">
        <v>3011</v>
      </c>
      <c r="E145" s="53" t="s">
        <v>2649</v>
      </c>
      <c r="F145" s="18" t="s">
        <v>2650</v>
      </c>
      <c r="G145" s="18" t="s">
        <v>3332</v>
      </c>
      <c r="H145" s="18" t="s">
        <v>51</v>
      </c>
      <c r="I145" s="18">
        <v>9</v>
      </c>
      <c r="J145" s="20" t="s">
        <v>2653</v>
      </c>
      <c r="K145" s="110" t="s">
        <v>3475</v>
      </c>
    </row>
    <row r="146" spans="1:11" ht="23.25" customHeight="1" x14ac:dyDescent="0.3">
      <c r="A146" s="20">
        <v>85</v>
      </c>
      <c r="B146" s="20" t="s">
        <v>3322</v>
      </c>
      <c r="C146" s="16" t="s">
        <v>3333</v>
      </c>
      <c r="D146" s="16" t="s">
        <v>3011</v>
      </c>
      <c r="E146" s="24" t="s">
        <v>3334</v>
      </c>
      <c r="F146" s="37" t="s">
        <v>3335</v>
      </c>
      <c r="G146" s="37" t="s">
        <v>364</v>
      </c>
      <c r="H146" s="37" t="s">
        <v>51</v>
      </c>
      <c r="I146" s="37">
        <v>8</v>
      </c>
      <c r="J146" s="37" t="s">
        <v>3336</v>
      </c>
      <c r="K146" s="178" t="s">
        <v>3479</v>
      </c>
    </row>
    <row r="147" spans="1:11" ht="23.25" customHeight="1" x14ac:dyDescent="0.3">
      <c r="A147" s="20">
        <v>86</v>
      </c>
      <c r="B147" s="20" t="s">
        <v>3322</v>
      </c>
      <c r="C147" s="16" t="s">
        <v>3337</v>
      </c>
      <c r="D147" s="16" t="s">
        <v>3011</v>
      </c>
      <c r="E147" s="17" t="s">
        <v>3338</v>
      </c>
      <c r="F147" s="18" t="s">
        <v>3339</v>
      </c>
      <c r="G147" s="18" t="s">
        <v>275</v>
      </c>
      <c r="H147" s="18" t="s">
        <v>51</v>
      </c>
      <c r="I147" s="18">
        <v>9</v>
      </c>
      <c r="J147" s="20" t="s">
        <v>3340</v>
      </c>
      <c r="K147" s="167" t="s">
        <v>3478</v>
      </c>
    </row>
    <row r="148" spans="1:11" ht="23.25" customHeight="1" x14ac:dyDescent="0.3">
      <c r="A148" s="20">
        <v>87</v>
      </c>
      <c r="B148" s="20" t="s">
        <v>3322</v>
      </c>
      <c r="C148" s="16" t="s">
        <v>3341</v>
      </c>
      <c r="D148" s="16" t="s">
        <v>3011</v>
      </c>
      <c r="E148" s="18" t="s">
        <v>3342</v>
      </c>
      <c r="F148" s="37" t="s">
        <v>3343</v>
      </c>
      <c r="G148" s="37" t="s">
        <v>3007</v>
      </c>
      <c r="H148" s="37" t="s">
        <v>34</v>
      </c>
      <c r="I148" s="37">
        <v>11</v>
      </c>
      <c r="J148" s="50" t="s">
        <v>3344</v>
      </c>
      <c r="K148" s="160" t="s">
        <v>3476</v>
      </c>
    </row>
    <row r="149" spans="1:11" ht="23.25" customHeight="1" x14ac:dyDescent="0.3">
      <c r="A149" s="20">
        <v>88</v>
      </c>
      <c r="B149" s="20" t="s">
        <v>3322</v>
      </c>
      <c r="C149" s="16" t="s">
        <v>3345</v>
      </c>
      <c r="D149" s="16" t="s">
        <v>3043</v>
      </c>
      <c r="E149" s="17" t="s">
        <v>2204</v>
      </c>
      <c r="F149" s="18" t="s">
        <v>2205</v>
      </c>
      <c r="G149" s="18" t="s">
        <v>388</v>
      </c>
      <c r="H149" s="18" t="s">
        <v>34</v>
      </c>
      <c r="I149" s="18">
        <v>4</v>
      </c>
      <c r="J149" s="20" t="s">
        <v>2209</v>
      </c>
      <c r="K149" s="110" t="s">
        <v>2188</v>
      </c>
    </row>
    <row r="150" spans="1:11" ht="23.25" customHeight="1" x14ac:dyDescent="0.3">
      <c r="A150" s="20">
        <v>89</v>
      </c>
      <c r="B150" s="20" t="s">
        <v>3322</v>
      </c>
      <c r="C150" s="16" t="s">
        <v>3346</v>
      </c>
      <c r="D150" s="16" t="s">
        <v>3011</v>
      </c>
      <c r="E150" s="17" t="s">
        <v>2812</v>
      </c>
      <c r="F150" s="37" t="s">
        <v>2813</v>
      </c>
      <c r="G150" s="37" t="s">
        <v>2814</v>
      </c>
      <c r="H150" s="37" t="s">
        <v>34</v>
      </c>
      <c r="I150" s="37">
        <v>10</v>
      </c>
      <c r="J150" s="37" t="s">
        <v>2818</v>
      </c>
      <c r="K150" s="178" t="s">
        <v>3477</v>
      </c>
    </row>
    <row r="151" spans="1:11" ht="23.25" customHeight="1" x14ac:dyDescent="0.3">
      <c r="A151" s="20">
        <v>90</v>
      </c>
      <c r="B151" s="20" t="s">
        <v>3322</v>
      </c>
      <c r="C151" s="16" t="s">
        <v>3347</v>
      </c>
      <c r="D151" s="16" t="s">
        <v>3011</v>
      </c>
      <c r="E151" s="18" t="s">
        <v>3348</v>
      </c>
      <c r="F151" s="37" t="s">
        <v>3349</v>
      </c>
      <c r="G151" s="37" t="s">
        <v>349</v>
      </c>
      <c r="H151" s="37" t="s">
        <v>34</v>
      </c>
      <c r="I151" s="37">
        <v>12</v>
      </c>
      <c r="J151" s="50" t="s">
        <v>3350</v>
      </c>
      <c r="K151" s="178" t="s">
        <v>3434</v>
      </c>
    </row>
    <row r="152" spans="1:11" ht="23.25" customHeight="1" x14ac:dyDescent="0.3">
      <c r="A152" s="20">
        <v>91</v>
      </c>
      <c r="B152" s="20" t="s">
        <v>3322</v>
      </c>
      <c r="C152" s="16"/>
      <c r="D152" s="16" t="s">
        <v>3011</v>
      </c>
      <c r="E152" s="24" t="s">
        <v>2760</v>
      </c>
      <c r="F152" s="37" t="s">
        <v>3351</v>
      </c>
      <c r="G152" s="37" t="s">
        <v>3352</v>
      </c>
      <c r="H152" s="37" t="s">
        <v>51</v>
      </c>
      <c r="I152" s="37">
        <v>11</v>
      </c>
      <c r="J152" s="50" t="s">
        <v>2765</v>
      </c>
      <c r="K152" s="178" t="s">
        <v>3435</v>
      </c>
    </row>
    <row r="153" spans="1:11" ht="23.25" customHeight="1" thickBot="1" x14ac:dyDescent="0.35">
      <c r="A153" s="129">
        <v>92</v>
      </c>
      <c r="B153" s="123" t="s">
        <v>3322</v>
      </c>
      <c r="C153" s="126" t="s">
        <v>3347</v>
      </c>
      <c r="D153" s="126" t="s">
        <v>3011</v>
      </c>
      <c r="E153" s="127" t="s">
        <v>3348</v>
      </c>
      <c r="F153" s="134" t="s">
        <v>3349</v>
      </c>
      <c r="G153" s="134" t="s">
        <v>349</v>
      </c>
      <c r="H153" s="134" t="s">
        <v>34</v>
      </c>
      <c r="I153" s="134">
        <v>12</v>
      </c>
      <c r="J153" s="159" t="s">
        <v>3350</v>
      </c>
      <c r="K153" s="179" t="s">
        <v>3434</v>
      </c>
    </row>
    <row r="154" spans="1:11" ht="23.25" customHeight="1" thickTop="1" x14ac:dyDescent="0.3">
      <c r="A154" s="129"/>
      <c r="B154" s="129" t="s">
        <v>3353</v>
      </c>
      <c r="C154" s="132" t="s">
        <v>3354</v>
      </c>
      <c r="D154" s="16" t="s">
        <v>3011</v>
      </c>
      <c r="E154" s="17" t="s">
        <v>2741</v>
      </c>
      <c r="F154" s="18" t="s">
        <v>2742</v>
      </c>
      <c r="G154" s="18" t="s">
        <v>954</v>
      </c>
      <c r="H154" s="18" t="s">
        <v>51</v>
      </c>
      <c r="I154" s="18">
        <v>2</v>
      </c>
      <c r="J154" s="18" t="s">
        <v>408</v>
      </c>
      <c r="K154" s="167" t="s">
        <v>3432</v>
      </c>
    </row>
    <row r="155" spans="1:11" ht="23.25" customHeight="1" x14ac:dyDescent="0.3">
      <c r="A155" s="129"/>
      <c r="B155" s="20" t="s">
        <v>3353</v>
      </c>
      <c r="C155" s="16" t="s">
        <v>3354</v>
      </c>
      <c r="D155" s="16" t="s">
        <v>3011</v>
      </c>
      <c r="E155" s="17" t="s">
        <v>2728</v>
      </c>
      <c r="F155" s="18" t="s">
        <v>2729</v>
      </c>
      <c r="G155" s="18" t="s">
        <v>2485</v>
      </c>
      <c r="H155" s="18" t="s">
        <v>34</v>
      </c>
      <c r="I155" s="18">
        <v>5</v>
      </c>
      <c r="J155" s="18" t="s">
        <v>2733</v>
      </c>
      <c r="K155" s="167" t="s">
        <v>3432</v>
      </c>
    </row>
    <row r="156" spans="1:11" ht="23.25" customHeight="1" x14ac:dyDescent="0.3">
      <c r="A156" s="129"/>
      <c r="B156" s="20" t="s">
        <v>3353</v>
      </c>
      <c r="C156" s="16" t="s">
        <v>3354</v>
      </c>
      <c r="D156" s="16" t="s">
        <v>3043</v>
      </c>
      <c r="E156" s="17" t="s">
        <v>2232</v>
      </c>
      <c r="F156" s="18" t="s">
        <v>2233</v>
      </c>
      <c r="G156" s="18" t="s">
        <v>1270</v>
      </c>
      <c r="H156" s="18" t="s">
        <v>51</v>
      </c>
      <c r="I156" s="18">
        <v>4</v>
      </c>
      <c r="J156" s="18" t="s">
        <v>2236</v>
      </c>
      <c r="K156" s="167" t="s">
        <v>3431</v>
      </c>
    </row>
    <row r="157" spans="1:11" ht="23.25" customHeight="1" x14ac:dyDescent="0.3">
      <c r="A157" s="129"/>
      <c r="B157" s="20" t="s">
        <v>3353</v>
      </c>
      <c r="C157" s="16" t="s">
        <v>3355</v>
      </c>
      <c r="D157" s="16" t="s">
        <v>3011</v>
      </c>
      <c r="E157" s="17" t="s">
        <v>2332</v>
      </c>
      <c r="F157" s="18" t="s">
        <v>3356</v>
      </c>
      <c r="G157" s="18" t="s">
        <v>3264</v>
      </c>
      <c r="H157" s="18" t="s">
        <v>34</v>
      </c>
      <c r="I157" s="18">
        <v>9</v>
      </c>
      <c r="J157" s="18" t="s">
        <v>2337</v>
      </c>
      <c r="K157" s="167" t="s">
        <v>3430</v>
      </c>
    </row>
    <row r="158" spans="1:11" ht="23.25" customHeight="1" x14ac:dyDescent="0.3">
      <c r="A158" s="129"/>
      <c r="B158" s="20" t="s">
        <v>3353</v>
      </c>
      <c r="C158" s="16" t="s">
        <v>3357</v>
      </c>
      <c r="D158" s="16" t="s">
        <v>3011</v>
      </c>
      <c r="E158" s="17" t="s">
        <v>2979</v>
      </c>
      <c r="F158" s="18" t="s">
        <v>3358</v>
      </c>
      <c r="G158" s="18" t="s">
        <v>3359</v>
      </c>
      <c r="H158" s="18" t="s">
        <v>51</v>
      </c>
      <c r="I158" s="18">
        <v>3</v>
      </c>
      <c r="J158" s="18" t="s">
        <v>392</v>
      </c>
      <c r="K158" s="167" t="s">
        <v>3429</v>
      </c>
    </row>
    <row r="159" spans="1:11" ht="23.25" customHeight="1" x14ac:dyDescent="0.3">
      <c r="A159" s="129"/>
      <c r="B159" s="20" t="s">
        <v>3353</v>
      </c>
      <c r="C159" s="16" t="s">
        <v>3360</v>
      </c>
      <c r="D159" s="16" t="s">
        <v>3011</v>
      </c>
      <c r="E159" s="17" t="s">
        <v>2853</v>
      </c>
      <c r="F159" s="37" t="s">
        <v>2854</v>
      </c>
      <c r="G159" s="37" t="s">
        <v>2531</v>
      </c>
      <c r="H159" s="37" t="s">
        <v>34</v>
      </c>
      <c r="I159" s="37">
        <v>10</v>
      </c>
      <c r="J159" s="37" t="s">
        <v>2857</v>
      </c>
      <c r="K159" s="178" t="s">
        <v>3428</v>
      </c>
    </row>
    <row r="160" spans="1:11" ht="23.25" customHeight="1" x14ac:dyDescent="0.3">
      <c r="A160" s="129"/>
      <c r="B160" s="20" t="s">
        <v>3353</v>
      </c>
      <c r="C160" s="16" t="s">
        <v>3357</v>
      </c>
      <c r="D160" s="16" t="s">
        <v>3011</v>
      </c>
      <c r="E160" s="17" t="s">
        <v>2865</v>
      </c>
      <c r="F160" s="18" t="s">
        <v>2866</v>
      </c>
      <c r="G160" s="18" t="s">
        <v>2867</v>
      </c>
      <c r="H160" s="18" t="s">
        <v>34</v>
      </c>
      <c r="I160" s="18">
        <v>8</v>
      </c>
      <c r="J160" s="18" t="s">
        <v>2871</v>
      </c>
      <c r="K160" s="167" t="s">
        <v>3427</v>
      </c>
    </row>
    <row r="161" spans="1:11" ht="23.25" customHeight="1" x14ac:dyDescent="0.3">
      <c r="A161" s="129"/>
      <c r="B161" s="20" t="s">
        <v>3353</v>
      </c>
      <c r="C161" s="16" t="s">
        <v>3361</v>
      </c>
      <c r="D161" s="16" t="s">
        <v>3011</v>
      </c>
      <c r="E161" s="17" t="s">
        <v>2980</v>
      </c>
      <c r="F161" s="18" t="s">
        <v>3362</v>
      </c>
      <c r="G161" s="18" t="s">
        <v>3001</v>
      </c>
      <c r="H161" s="18" t="s">
        <v>51</v>
      </c>
      <c r="I161" s="18">
        <v>6</v>
      </c>
      <c r="J161" s="18" t="s">
        <v>3363</v>
      </c>
      <c r="K161" s="167" t="s">
        <v>3426</v>
      </c>
    </row>
    <row r="162" spans="1:11" ht="23.25" customHeight="1" x14ac:dyDescent="0.3">
      <c r="A162" s="129"/>
      <c r="B162" s="20" t="s">
        <v>3353</v>
      </c>
      <c r="C162" s="16" t="s">
        <v>3364</v>
      </c>
      <c r="D162" s="16" t="s">
        <v>3011</v>
      </c>
      <c r="E162" s="17" t="s">
        <v>2899</v>
      </c>
      <c r="F162" s="18" t="s">
        <v>2900</v>
      </c>
      <c r="G162" s="18" t="s">
        <v>2901</v>
      </c>
      <c r="H162" s="18" t="s">
        <v>34</v>
      </c>
      <c r="I162" s="18">
        <v>11</v>
      </c>
      <c r="J162" s="18" t="s">
        <v>2904</v>
      </c>
      <c r="K162" s="167" t="s">
        <v>3425</v>
      </c>
    </row>
    <row r="163" spans="1:11" ht="23.25" customHeight="1" x14ac:dyDescent="0.3">
      <c r="A163" s="129"/>
      <c r="B163" s="20" t="s">
        <v>3353</v>
      </c>
      <c r="C163" s="16" t="s">
        <v>3364</v>
      </c>
      <c r="D163" s="16" t="s">
        <v>3011</v>
      </c>
      <c r="E163" s="40" t="s">
        <v>2982</v>
      </c>
      <c r="F163" s="18" t="s">
        <v>3365</v>
      </c>
      <c r="G163" s="18" t="s">
        <v>192</v>
      </c>
      <c r="H163" s="18" t="s">
        <v>51</v>
      </c>
      <c r="I163" s="18">
        <v>5</v>
      </c>
      <c r="J163" s="18" t="s">
        <v>3366</v>
      </c>
      <c r="K163" s="167" t="s">
        <v>3424</v>
      </c>
    </row>
    <row r="164" spans="1:11" ht="23.25" customHeight="1" x14ac:dyDescent="0.3">
      <c r="A164" s="129"/>
      <c r="B164" s="20" t="s">
        <v>3353</v>
      </c>
      <c r="C164" s="16" t="s">
        <v>3364</v>
      </c>
      <c r="D164" s="16" t="s">
        <v>3043</v>
      </c>
      <c r="E164" s="24" t="s">
        <v>2689</v>
      </c>
      <c r="F164" s="18" t="s">
        <v>2690</v>
      </c>
      <c r="G164" s="18" t="s">
        <v>1730</v>
      </c>
      <c r="H164" s="18" t="s">
        <v>34</v>
      </c>
      <c r="I164" s="18">
        <v>8</v>
      </c>
      <c r="J164" s="18" t="s">
        <v>2694</v>
      </c>
      <c r="K164" s="167" t="s">
        <v>3423</v>
      </c>
    </row>
    <row r="165" spans="1:11" ht="23.25" customHeight="1" x14ac:dyDescent="0.3">
      <c r="A165" s="129"/>
      <c r="B165" s="20" t="s">
        <v>3353</v>
      </c>
      <c r="C165" s="16" t="s">
        <v>3341</v>
      </c>
      <c r="D165" s="16" t="s">
        <v>3011</v>
      </c>
      <c r="E165" s="24" t="s">
        <v>2880</v>
      </c>
      <c r="F165" s="37" t="s">
        <v>2881</v>
      </c>
      <c r="G165" s="37" t="s">
        <v>2882</v>
      </c>
      <c r="H165" s="37" t="s">
        <v>51</v>
      </c>
      <c r="I165" s="37">
        <v>10</v>
      </c>
      <c r="J165" s="37" t="s">
        <v>2884</v>
      </c>
      <c r="K165" s="178" t="s">
        <v>3422</v>
      </c>
    </row>
    <row r="166" spans="1:11" ht="23.25" customHeight="1" x14ac:dyDescent="0.3">
      <c r="A166" s="129"/>
      <c r="B166" s="20" t="s">
        <v>3353</v>
      </c>
      <c r="C166" s="16" t="s">
        <v>3179</v>
      </c>
      <c r="D166" s="16" t="s">
        <v>3011</v>
      </c>
      <c r="E166" s="100" t="s">
        <v>1982</v>
      </c>
      <c r="F166" s="18" t="s">
        <v>1983</v>
      </c>
      <c r="G166" s="18" t="s">
        <v>3367</v>
      </c>
      <c r="H166" s="18" t="s">
        <v>34</v>
      </c>
      <c r="I166" s="18">
        <v>9</v>
      </c>
      <c r="J166" s="18" t="s">
        <v>1987</v>
      </c>
      <c r="K166" s="167" t="s">
        <v>3421</v>
      </c>
    </row>
    <row r="167" spans="1:11" ht="23.25" customHeight="1" x14ac:dyDescent="0.3">
      <c r="A167" s="129"/>
      <c r="B167" s="20" t="s">
        <v>3353</v>
      </c>
      <c r="C167" s="16" t="s">
        <v>3368</v>
      </c>
      <c r="D167" s="16" t="s">
        <v>3011</v>
      </c>
      <c r="E167" s="17" t="s">
        <v>2606</v>
      </c>
      <c r="F167" s="18" t="s">
        <v>2607</v>
      </c>
      <c r="G167" s="18" t="s">
        <v>3369</v>
      </c>
      <c r="H167" s="18" t="s">
        <v>51</v>
      </c>
      <c r="I167" s="18">
        <v>10</v>
      </c>
      <c r="J167" s="18" t="s">
        <v>2610</v>
      </c>
      <c r="K167" s="167" t="s">
        <v>3419</v>
      </c>
    </row>
    <row r="168" spans="1:11" ht="23.25" customHeight="1" x14ac:dyDescent="0.3">
      <c r="A168" s="129"/>
      <c r="B168" s="20" t="s">
        <v>3353</v>
      </c>
      <c r="C168" s="16" t="s">
        <v>3368</v>
      </c>
      <c r="D168" s="16" t="s">
        <v>3011</v>
      </c>
      <c r="E168" s="17" t="s">
        <v>2483</v>
      </c>
      <c r="F168" s="18" t="s">
        <v>3370</v>
      </c>
      <c r="G168" s="18" t="s">
        <v>3371</v>
      </c>
      <c r="H168" s="18" t="s">
        <v>34</v>
      </c>
      <c r="I168" s="18">
        <v>9</v>
      </c>
      <c r="J168" s="18" t="s">
        <v>2488</v>
      </c>
      <c r="K168" s="167" t="s">
        <v>3418</v>
      </c>
    </row>
    <row r="169" spans="1:11" ht="23.25" customHeight="1" x14ac:dyDescent="0.3">
      <c r="A169" s="129"/>
      <c r="B169" s="20" t="s">
        <v>3353</v>
      </c>
      <c r="C169" s="16" t="s">
        <v>3372</v>
      </c>
      <c r="D169" s="16" t="s">
        <v>3011</v>
      </c>
      <c r="E169" s="24" t="s">
        <v>2928</v>
      </c>
      <c r="F169" s="18" t="s">
        <v>2929</v>
      </c>
      <c r="G169" s="18" t="s">
        <v>2930</v>
      </c>
      <c r="H169" s="18" t="s">
        <v>51</v>
      </c>
      <c r="I169" s="18">
        <v>11</v>
      </c>
      <c r="J169" s="18" t="s">
        <v>2933</v>
      </c>
      <c r="K169" s="167" t="s">
        <v>3417</v>
      </c>
    </row>
    <row r="170" spans="1:11" ht="23.25" customHeight="1" x14ac:dyDescent="0.3">
      <c r="A170" s="129"/>
      <c r="B170" s="20" t="s">
        <v>3353</v>
      </c>
      <c r="C170" s="16" t="s">
        <v>3373</v>
      </c>
      <c r="D170" s="16" t="s">
        <v>3011</v>
      </c>
      <c r="E170" s="17" t="s">
        <v>2983</v>
      </c>
      <c r="F170" s="18" t="s">
        <v>3374</v>
      </c>
      <c r="G170" s="18" t="s">
        <v>3375</v>
      </c>
      <c r="H170" s="18" t="s">
        <v>34</v>
      </c>
      <c r="I170" s="18">
        <v>8</v>
      </c>
      <c r="J170" s="18" t="s">
        <v>3376</v>
      </c>
      <c r="K170" s="167" t="s">
        <v>3416</v>
      </c>
    </row>
    <row r="171" spans="1:11" ht="23.25" customHeight="1" x14ac:dyDescent="0.3">
      <c r="A171" s="129"/>
      <c r="B171" s="20" t="s">
        <v>3353</v>
      </c>
      <c r="C171" s="184" t="s">
        <v>3489</v>
      </c>
      <c r="D171" s="184" t="s">
        <v>3490</v>
      </c>
      <c r="E171" s="223" t="s">
        <v>3491</v>
      </c>
      <c r="F171" s="224" t="s">
        <v>3492</v>
      </c>
      <c r="G171" s="224" t="s">
        <v>3493</v>
      </c>
      <c r="H171" s="224" t="s">
        <v>3494</v>
      </c>
      <c r="I171" s="18">
        <v>8</v>
      </c>
      <c r="J171" s="225" t="s">
        <v>3495</v>
      </c>
      <c r="K171" s="167" t="s">
        <v>3425</v>
      </c>
    </row>
    <row r="172" spans="1:11" ht="23.25" customHeight="1" x14ac:dyDescent="0.3">
      <c r="A172" s="129"/>
      <c r="B172" s="20"/>
      <c r="C172" s="16"/>
      <c r="D172" s="16"/>
      <c r="E172" s="37"/>
      <c r="F172" s="37"/>
      <c r="G172" s="37"/>
      <c r="H172" s="37"/>
      <c r="I172" s="18"/>
      <c r="J172" s="37"/>
      <c r="K172" s="109"/>
    </row>
    <row r="173" spans="1:11" ht="23.25" customHeight="1" x14ac:dyDescent="0.3">
      <c r="A173" s="129"/>
      <c r="B173" s="20"/>
      <c r="C173" s="16"/>
      <c r="D173" s="16"/>
      <c r="E173" s="37"/>
      <c r="F173" s="37"/>
      <c r="G173" s="37"/>
      <c r="H173" s="37"/>
      <c r="I173" s="18"/>
      <c r="J173" s="37"/>
      <c r="K173" s="109"/>
    </row>
    <row r="174" spans="1:11" ht="23.25" customHeight="1" x14ac:dyDescent="0.3">
      <c r="A174" s="129"/>
      <c r="B174" s="20"/>
      <c r="C174" s="16"/>
      <c r="D174" s="16"/>
      <c r="E174" s="37"/>
      <c r="F174" s="37"/>
      <c r="G174" s="37"/>
      <c r="H174" s="37"/>
      <c r="I174" s="18"/>
      <c r="J174" s="37"/>
      <c r="K174" s="109"/>
    </row>
    <row r="175" spans="1:11" ht="23.25" customHeight="1" x14ac:dyDescent="0.3">
      <c r="A175" s="129"/>
      <c r="B175" s="20"/>
      <c r="C175" s="16"/>
      <c r="D175" s="16"/>
      <c r="E175" s="37"/>
      <c r="F175" s="37"/>
      <c r="G175" s="37"/>
      <c r="H175" s="37"/>
      <c r="I175" s="18"/>
      <c r="J175" s="37"/>
      <c r="K175" s="109"/>
    </row>
    <row r="176" spans="1:11" ht="23.25" customHeight="1" x14ac:dyDescent="0.3">
      <c r="A176" s="129"/>
      <c r="B176" s="20"/>
      <c r="C176" s="16"/>
      <c r="D176" s="16"/>
      <c r="E176" s="37"/>
      <c r="F176" s="37"/>
      <c r="G176" s="37"/>
      <c r="H176" s="37"/>
      <c r="I176" s="18"/>
      <c r="J176" s="37"/>
      <c r="K176" s="109"/>
    </row>
    <row r="177" spans="1:11" ht="23.25" customHeight="1" x14ac:dyDescent="0.3">
      <c r="A177" s="129"/>
      <c r="B177" s="20"/>
      <c r="C177" s="16"/>
      <c r="D177" s="16"/>
      <c r="E177" s="37"/>
      <c r="F177" s="37"/>
      <c r="G177" s="37"/>
      <c r="H177" s="37"/>
      <c r="I177" s="18"/>
      <c r="J177" s="37"/>
      <c r="K177" s="109"/>
    </row>
    <row r="178" spans="1:11" ht="23.25" customHeight="1" x14ac:dyDescent="0.3">
      <c r="A178" s="129"/>
      <c r="B178" s="20"/>
      <c r="C178" s="16"/>
      <c r="D178" s="16"/>
      <c r="E178" s="37"/>
      <c r="F178" s="37"/>
      <c r="G178" s="37"/>
      <c r="H178" s="37"/>
      <c r="I178" s="18"/>
      <c r="J178" s="37"/>
      <c r="K178" s="109"/>
    </row>
    <row r="179" spans="1:11" ht="13.8" x14ac:dyDescent="0.3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</row>
    <row r="180" spans="1:11" ht="13.8" x14ac:dyDescent="0.3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</row>
    <row r="181" spans="1:11" ht="13.8" x14ac:dyDescent="0.3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</row>
    <row r="182" spans="1:11" ht="13.8" x14ac:dyDescent="0.3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</row>
    <row r="183" spans="1:11" ht="13.8" x14ac:dyDescent="0.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</row>
    <row r="184" spans="1:11" ht="13.8" x14ac:dyDescent="0.3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</row>
    <row r="185" spans="1:11" ht="13.8" x14ac:dyDescent="0.3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</row>
    <row r="186" spans="1:11" ht="13.8" x14ac:dyDescent="0.3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</row>
    <row r="187" spans="1:11" ht="13.8" x14ac:dyDescent="0.3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</row>
    <row r="188" spans="1:11" ht="13.8" x14ac:dyDescent="0.3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</row>
    <row r="189" spans="1:11" ht="13.8" x14ac:dyDescent="0.3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</row>
    <row r="190" spans="1:11" ht="13.8" x14ac:dyDescent="0.3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</row>
    <row r="191" spans="1:11" ht="13.8" x14ac:dyDescent="0.3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</row>
    <row r="192" spans="1:11" ht="13.8" x14ac:dyDescent="0.3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</row>
    <row r="193" spans="1:11" ht="13.8" x14ac:dyDescent="0.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</row>
    <row r="194" spans="1:11" ht="13.8" x14ac:dyDescent="0.3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</row>
    <row r="195" spans="1:11" ht="13.8" x14ac:dyDescent="0.3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</row>
    <row r="196" spans="1:11" ht="13.8" x14ac:dyDescent="0.3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</row>
    <row r="197" spans="1:11" ht="13.8" x14ac:dyDescent="0.3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</row>
    <row r="198" spans="1:11" ht="13.8" x14ac:dyDescent="0.3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</row>
    <row r="199" spans="1:11" ht="13.8" x14ac:dyDescent="0.3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</row>
    <row r="200" spans="1:11" ht="13.8" x14ac:dyDescent="0.3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</row>
    <row r="201" spans="1:11" ht="13.8" x14ac:dyDescent="0.3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</row>
    <row r="202" spans="1:11" ht="13.8" x14ac:dyDescent="0.3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</row>
    <row r="203" spans="1:11" ht="13.8" x14ac:dyDescent="0.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</row>
    <row r="204" spans="1:11" ht="13.8" x14ac:dyDescent="0.3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</row>
    <row r="205" spans="1:11" ht="13.8" x14ac:dyDescent="0.3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</row>
    <row r="206" spans="1:11" ht="13.8" x14ac:dyDescent="0.3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</row>
    <row r="207" spans="1:11" ht="13.8" x14ac:dyDescent="0.3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</row>
    <row r="208" spans="1:11" ht="13.8" x14ac:dyDescent="0.3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</row>
    <row r="209" spans="1:11" ht="13.8" x14ac:dyDescent="0.3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</row>
    <row r="210" spans="1:11" ht="13.8" x14ac:dyDescent="0.3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</row>
    <row r="211" spans="1:11" ht="13.8" x14ac:dyDescent="0.3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</row>
    <row r="212" spans="1:11" ht="13.8" x14ac:dyDescent="0.3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</row>
    <row r="213" spans="1:11" ht="13.8" x14ac:dyDescent="0.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</row>
    <row r="214" spans="1:11" ht="13.8" x14ac:dyDescent="0.3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</row>
    <row r="215" spans="1:11" ht="13.8" x14ac:dyDescent="0.3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</row>
    <row r="216" spans="1:11" ht="13.8" x14ac:dyDescent="0.3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</row>
    <row r="217" spans="1:11" ht="13.8" x14ac:dyDescent="0.3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</row>
    <row r="218" spans="1:11" ht="13.8" x14ac:dyDescent="0.3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</row>
    <row r="219" spans="1:11" ht="13.8" x14ac:dyDescent="0.3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</row>
    <row r="220" spans="1:11" ht="13.8" x14ac:dyDescent="0.3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</row>
    <row r="221" spans="1:11" ht="13.8" x14ac:dyDescent="0.3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</row>
    <row r="222" spans="1:11" ht="13.8" x14ac:dyDescent="0.3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</row>
    <row r="223" spans="1:11" ht="13.8" x14ac:dyDescent="0.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</row>
    <row r="224" spans="1:11" ht="13.8" x14ac:dyDescent="0.3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</row>
    <row r="225" spans="1:11" ht="13.8" x14ac:dyDescent="0.3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</row>
    <row r="226" spans="1:11" ht="13.8" x14ac:dyDescent="0.3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</row>
    <row r="227" spans="1:11" ht="13.8" x14ac:dyDescent="0.3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</row>
    <row r="228" spans="1:11" ht="13.8" x14ac:dyDescent="0.3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</row>
    <row r="229" spans="1:11" ht="13.8" x14ac:dyDescent="0.3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</row>
    <row r="230" spans="1:11" ht="13.8" x14ac:dyDescent="0.3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</row>
    <row r="231" spans="1:11" ht="13.8" x14ac:dyDescent="0.3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</row>
    <row r="232" spans="1:11" ht="13.8" x14ac:dyDescent="0.3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</row>
    <row r="233" spans="1:11" ht="13.8" x14ac:dyDescent="0.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</row>
    <row r="234" spans="1:11" ht="13.8" x14ac:dyDescent="0.3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</row>
    <row r="235" spans="1:11" ht="13.8" x14ac:dyDescent="0.3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</row>
    <row r="236" spans="1:11" ht="13.8" x14ac:dyDescent="0.3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</row>
    <row r="237" spans="1:11" ht="13.8" x14ac:dyDescent="0.3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</row>
    <row r="238" spans="1:11" ht="13.8" x14ac:dyDescent="0.3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</row>
    <row r="239" spans="1:11" ht="13.8" x14ac:dyDescent="0.3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</row>
    <row r="240" spans="1:11" ht="13.8" x14ac:dyDescent="0.3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</row>
    <row r="241" spans="1:11" ht="13.8" x14ac:dyDescent="0.3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</row>
    <row r="242" spans="1:11" ht="13.8" x14ac:dyDescent="0.3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</row>
    <row r="243" spans="1:11" ht="13.8" x14ac:dyDescent="0.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</row>
    <row r="244" spans="1:11" ht="13.8" x14ac:dyDescent="0.3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</row>
    <row r="245" spans="1:11" ht="13.8" x14ac:dyDescent="0.3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</row>
    <row r="246" spans="1:11" ht="13.8" x14ac:dyDescent="0.3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</row>
    <row r="247" spans="1:11" ht="13.8" x14ac:dyDescent="0.3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</row>
    <row r="248" spans="1:11" ht="13.8" x14ac:dyDescent="0.3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</row>
    <row r="249" spans="1:11" ht="13.8" x14ac:dyDescent="0.3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</row>
    <row r="250" spans="1:11" ht="13.8" x14ac:dyDescent="0.3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</row>
    <row r="251" spans="1:11" ht="13.8" x14ac:dyDescent="0.3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</row>
    <row r="252" spans="1:11" ht="13.8" x14ac:dyDescent="0.3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</row>
    <row r="253" spans="1:11" ht="13.8" x14ac:dyDescent="0.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</row>
    <row r="254" spans="1:11" ht="13.8" x14ac:dyDescent="0.3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</row>
    <row r="255" spans="1:11" ht="13.8" x14ac:dyDescent="0.3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</row>
    <row r="256" spans="1:11" ht="13.8" x14ac:dyDescent="0.3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</row>
    <row r="257" spans="1:11" ht="13.8" x14ac:dyDescent="0.3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</row>
    <row r="258" spans="1:11" ht="13.8" x14ac:dyDescent="0.3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</row>
    <row r="259" spans="1:11" ht="13.8" x14ac:dyDescent="0.3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</row>
    <row r="260" spans="1:11" ht="13.8" x14ac:dyDescent="0.3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</row>
    <row r="261" spans="1:11" ht="13.8" x14ac:dyDescent="0.3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</row>
    <row r="262" spans="1:11" ht="13.8" x14ac:dyDescent="0.3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</row>
    <row r="263" spans="1:11" ht="13.8" x14ac:dyDescent="0.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</row>
    <row r="264" spans="1:11" ht="13.8" x14ac:dyDescent="0.3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</row>
    <row r="265" spans="1:11" ht="13.8" x14ac:dyDescent="0.3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</row>
    <row r="266" spans="1:11" ht="13.8" x14ac:dyDescent="0.3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</row>
    <row r="267" spans="1:11" ht="13.8" x14ac:dyDescent="0.3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</row>
    <row r="268" spans="1:11" ht="13.8" x14ac:dyDescent="0.3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</row>
    <row r="269" spans="1:11" ht="13.8" x14ac:dyDescent="0.3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</row>
    <row r="270" spans="1:11" ht="13.8" x14ac:dyDescent="0.3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</row>
    <row r="271" spans="1:11" ht="13.8" x14ac:dyDescent="0.3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</row>
    <row r="272" spans="1:11" ht="13.8" x14ac:dyDescent="0.3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</row>
    <row r="273" spans="1:11" ht="13.8" x14ac:dyDescent="0.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</row>
    <row r="274" spans="1:11" ht="13.8" x14ac:dyDescent="0.3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</row>
    <row r="275" spans="1:11" ht="13.8" x14ac:dyDescent="0.3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</row>
    <row r="276" spans="1:11" ht="13.8" x14ac:dyDescent="0.3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</row>
    <row r="277" spans="1:11" ht="13.8" x14ac:dyDescent="0.3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</row>
    <row r="278" spans="1:11" ht="13.8" x14ac:dyDescent="0.3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</row>
    <row r="279" spans="1:11" ht="13.8" x14ac:dyDescent="0.3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</row>
    <row r="280" spans="1:11" ht="13.8" x14ac:dyDescent="0.3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</row>
    <row r="281" spans="1:11" ht="13.8" x14ac:dyDescent="0.3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</row>
    <row r="282" spans="1:11" ht="13.8" x14ac:dyDescent="0.3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</row>
    <row r="283" spans="1:11" ht="13.8" x14ac:dyDescent="0.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</row>
    <row r="284" spans="1:11" ht="13.8" x14ac:dyDescent="0.3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</row>
    <row r="285" spans="1:11" ht="13.8" x14ac:dyDescent="0.3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</row>
    <row r="286" spans="1:11" ht="13.8" x14ac:dyDescent="0.3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</row>
    <row r="287" spans="1:11" ht="13.8" x14ac:dyDescent="0.3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</row>
    <row r="288" spans="1:11" ht="13.8" x14ac:dyDescent="0.3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</row>
    <row r="289" spans="1:11" ht="13.8" x14ac:dyDescent="0.3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</row>
    <row r="290" spans="1:11" ht="13.8" x14ac:dyDescent="0.3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</row>
    <row r="291" spans="1:11" ht="13.8" x14ac:dyDescent="0.3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</row>
    <row r="292" spans="1:11" ht="13.8" x14ac:dyDescent="0.3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</row>
    <row r="293" spans="1:11" ht="13.8" x14ac:dyDescent="0.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</row>
    <row r="294" spans="1:11" ht="13.8" x14ac:dyDescent="0.3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</row>
    <row r="295" spans="1:11" ht="13.8" x14ac:dyDescent="0.3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</row>
    <row r="296" spans="1:11" ht="13.8" x14ac:dyDescent="0.3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</row>
    <row r="297" spans="1:11" ht="13.8" x14ac:dyDescent="0.3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</row>
    <row r="298" spans="1:11" ht="13.8" x14ac:dyDescent="0.3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</row>
    <row r="299" spans="1:11" ht="13.8" x14ac:dyDescent="0.3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</row>
    <row r="300" spans="1:11" ht="13.8" x14ac:dyDescent="0.3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</row>
    <row r="301" spans="1:11" ht="13.8" x14ac:dyDescent="0.3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</row>
    <row r="302" spans="1:11" ht="13.8" x14ac:dyDescent="0.3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</row>
    <row r="303" spans="1:11" ht="13.8" x14ac:dyDescent="0.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</row>
    <row r="304" spans="1:11" ht="13.8" x14ac:dyDescent="0.3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</row>
    <row r="305" spans="1:11" ht="13.8" x14ac:dyDescent="0.3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</row>
    <row r="306" spans="1:11" ht="13.8" x14ac:dyDescent="0.3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</row>
    <row r="307" spans="1:11" ht="13.8" x14ac:dyDescent="0.3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</row>
    <row r="308" spans="1:11" ht="13.8" x14ac:dyDescent="0.3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</row>
    <row r="309" spans="1:11" ht="13.8" x14ac:dyDescent="0.3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</row>
    <row r="310" spans="1:11" ht="13.8" x14ac:dyDescent="0.3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</row>
    <row r="311" spans="1:11" ht="13.8" x14ac:dyDescent="0.3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</row>
    <row r="312" spans="1:11" ht="13.8" x14ac:dyDescent="0.3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</row>
    <row r="313" spans="1:11" ht="13.8" x14ac:dyDescent="0.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</row>
    <row r="314" spans="1:11" ht="13.8" x14ac:dyDescent="0.3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</row>
    <row r="315" spans="1:11" ht="13.8" x14ac:dyDescent="0.3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</row>
    <row r="316" spans="1:11" ht="13.8" x14ac:dyDescent="0.3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</row>
    <row r="317" spans="1:11" ht="13.8" x14ac:dyDescent="0.3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</row>
    <row r="318" spans="1:11" ht="13.8" x14ac:dyDescent="0.3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</row>
    <row r="319" spans="1:11" ht="13.8" x14ac:dyDescent="0.3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</row>
    <row r="320" spans="1:11" ht="13.8" x14ac:dyDescent="0.3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</row>
    <row r="321" spans="1:11" ht="13.8" x14ac:dyDescent="0.3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</row>
    <row r="322" spans="1:11" ht="13.8" x14ac:dyDescent="0.3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</row>
    <row r="323" spans="1:11" ht="13.8" x14ac:dyDescent="0.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</row>
    <row r="324" spans="1:11" ht="13.8" x14ac:dyDescent="0.3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</row>
    <row r="325" spans="1:11" ht="13.8" x14ac:dyDescent="0.3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</row>
    <row r="326" spans="1:11" ht="13.8" x14ac:dyDescent="0.3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</row>
    <row r="327" spans="1:11" ht="13.8" x14ac:dyDescent="0.3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</row>
    <row r="328" spans="1:11" ht="13.8" x14ac:dyDescent="0.3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</row>
    <row r="329" spans="1:11" ht="13.8" x14ac:dyDescent="0.3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</row>
    <row r="330" spans="1:11" ht="13.8" x14ac:dyDescent="0.3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</row>
    <row r="331" spans="1:11" ht="13.8" x14ac:dyDescent="0.3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</row>
    <row r="332" spans="1:11" ht="13.8" x14ac:dyDescent="0.3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</row>
    <row r="333" spans="1:11" ht="13.8" x14ac:dyDescent="0.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</row>
    <row r="334" spans="1:11" ht="13.8" x14ac:dyDescent="0.3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</row>
    <row r="335" spans="1:11" ht="13.8" x14ac:dyDescent="0.3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</row>
    <row r="336" spans="1:11" ht="13.8" x14ac:dyDescent="0.3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</row>
    <row r="337" spans="1:11" ht="13.8" x14ac:dyDescent="0.3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</row>
    <row r="338" spans="1:11" ht="13.8" x14ac:dyDescent="0.3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</row>
    <row r="339" spans="1:11" ht="13.8" x14ac:dyDescent="0.3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</row>
    <row r="340" spans="1:11" ht="13.8" x14ac:dyDescent="0.3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</row>
    <row r="341" spans="1:11" ht="13.8" x14ac:dyDescent="0.3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</row>
    <row r="342" spans="1:11" ht="13.8" x14ac:dyDescent="0.3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</row>
    <row r="343" spans="1:11" ht="13.8" x14ac:dyDescent="0.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</row>
    <row r="344" spans="1:11" ht="13.8" x14ac:dyDescent="0.3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</row>
    <row r="345" spans="1:11" ht="13.8" x14ac:dyDescent="0.3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</row>
    <row r="346" spans="1:11" ht="13.8" x14ac:dyDescent="0.3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</row>
    <row r="347" spans="1:11" ht="13.8" x14ac:dyDescent="0.3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</row>
    <row r="348" spans="1:11" ht="13.8" x14ac:dyDescent="0.3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</row>
    <row r="349" spans="1:11" ht="13.8" x14ac:dyDescent="0.3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</row>
    <row r="350" spans="1:11" ht="13.8" x14ac:dyDescent="0.3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</row>
    <row r="351" spans="1:11" ht="13.8" x14ac:dyDescent="0.3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</row>
    <row r="352" spans="1:11" ht="13.8" x14ac:dyDescent="0.3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</row>
    <row r="353" spans="1:11" ht="13.8" x14ac:dyDescent="0.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</row>
    <row r="354" spans="1:11" ht="13.8" x14ac:dyDescent="0.3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</row>
    <row r="355" spans="1:11" ht="13.8" x14ac:dyDescent="0.3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</row>
    <row r="356" spans="1:11" ht="13.8" x14ac:dyDescent="0.3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</row>
    <row r="357" spans="1:11" ht="13.8" x14ac:dyDescent="0.3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</row>
    <row r="358" spans="1:11" ht="13.8" x14ac:dyDescent="0.3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</row>
    <row r="359" spans="1:11" ht="13.8" x14ac:dyDescent="0.3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</row>
    <row r="360" spans="1:11" ht="13.8" x14ac:dyDescent="0.3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</row>
    <row r="361" spans="1:11" ht="13.8" x14ac:dyDescent="0.3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</row>
    <row r="362" spans="1:11" ht="13.8" x14ac:dyDescent="0.3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</row>
    <row r="363" spans="1:11" ht="13.8" x14ac:dyDescent="0.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</row>
    <row r="364" spans="1:11" ht="13.8" x14ac:dyDescent="0.3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</row>
    <row r="365" spans="1:11" ht="13.8" x14ac:dyDescent="0.3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</row>
    <row r="366" spans="1:11" ht="13.8" x14ac:dyDescent="0.3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</row>
    <row r="367" spans="1:11" ht="13.8" x14ac:dyDescent="0.3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</row>
    <row r="368" spans="1:11" ht="13.8" x14ac:dyDescent="0.3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</row>
    <row r="369" spans="1:11" ht="13.8" x14ac:dyDescent="0.3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</row>
    <row r="370" spans="1:11" ht="13.8" x14ac:dyDescent="0.3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</row>
    <row r="371" spans="1:11" ht="13.8" x14ac:dyDescent="0.3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</row>
    <row r="372" spans="1:11" ht="13.8" x14ac:dyDescent="0.3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</row>
    <row r="373" spans="1:11" ht="13.8" x14ac:dyDescent="0.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</row>
    <row r="374" spans="1:11" ht="13.8" x14ac:dyDescent="0.3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</row>
    <row r="375" spans="1:11" ht="13.8" x14ac:dyDescent="0.3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</row>
    <row r="376" spans="1:11" ht="13.8" x14ac:dyDescent="0.3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</row>
    <row r="377" spans="1:11" ht="13.8" x14ac:dyDescent="0.3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</row>
    <row r="378" spans="1:11" ht="13.8" x14ac:dyDescent="0.3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</row>
    <row r="379" spans="1:11" ht="13.8" x14ac:dyDescent="0.3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</row>
    <row r="380" spans="1:11" ht="13.8" x14ac:dyDescent="0.3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</row>
    <row r="381" spans="1:11" ht="13.8" x14ac:dyDescent="0.3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</row>
    <row r="382" spans="1:11" ht="13.8" x14ac:dyDescent="0.3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</row>
    <row r="383" spans="1:11" ht="13.8" x14ac:dyDescent="0.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</row>
    <row r="384" spans="1:11" ht="13.8" x14ac:dyDescent="0.3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</row>
    <row r="385" spans="1:11" ht="13.8" x14ac:dyDescent="0.3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</row>
    <row r="386" spans="1:11" ht="13.8" x14ac:dyDescent="0.3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</row>
    <row r="387" spans="1:11" ht="13.8" x14ac:dyDescent="0.3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</row>
    <row r="388" spans="1:11" ht="13.8" x14ac:dyDescent="0.3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</row>
    <row r="389" spans="1:11" ht="13.8" x14ac:dyDescent="0.3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</row>
    <row r="390" spans="1:11" ht="13.8" x14ac:dyDescent="0.3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</row>
    <row r="391" spans="1:11" ht="13.8" x14ac:dyDescent="0.3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</row>
    <row r="392" spans="1:11" ht="13.8" x14ac:dyDescent="0.3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</row>
    <row r="393" spans="1:11" ht="13.8" x14ac:dyDescent="0.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</row>
    <row r="394" spans="1:11" ht="13.8" x14ac:dyDescent="0.3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</row>
    <row r="395" spans="1:11" ht="13.8" x14ac:dyDescent="0.3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</row>
    <row r="396" spans="1:11" ht="13.8" x14ac:dyDescent="0.3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</row>
    <row r="397" spans="1:11" ht="13.8" x14ac:dyDescent="0.3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</row>
    <row r="398" spans="1:11" ht="13.8" x14ac:dyDescent="0.3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</row>
    <row r="399" spans="1:11" ht="13.8" x14ac:dyDescent="0.3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</row>
    <row r="400" spans="1:11" ht="13.8" x14ac:dyDescent="0.3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</row>
    <row r="401" spans="1:11" ht="13.8" x14ac:dyDescent="0.3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</row>
    <row r="402" spans="1:11" ht="13.8" x14ac:dyDescent="0.3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</row>
    <row r="403" spans="1:11" ht="13.8" x14ac:dyDescent="0.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</row>
    <row r="404" spans="1:11" ht="13.8" x14ac:dyDescent="0.3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</row>
    <row r="405" spans="1:11" ht="13.8" x14ac:dyDescent="0.3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</row>
    <row r="406" spans="1:11" ht="13.8" x14ac:dyDescent="0.3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</row>
    <row r="407" spans="1:11" ht="13.8" x14ac:dyDescent="0.3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</row>
    <row r="408" spans="1:11" ht="13.8" x14ac:dyDescent="0.3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</row>
    <row r="409" spans="1:11" ht="13.8" x14ac:dyDescent="0.3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</row>
    <row r="410" spans="1:11" ht="13.8" x14ac:dyDescent="0.3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</row>
    <row r="411" spans="1:11" ht="13.8" x14ac:dyDescent="0.3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</row>
    <row r="412" spans="1:11" ht="13.8" x14ac:dyDescent="0.3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</row>
    <row r="413" spans="1:11" ht="13.8" x14ac:dyDescent="0.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</row>
    <row r="414" spans="1:11" ht="13.8" x14ac:dyDescent="0.3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</row>
    <row r="415" spans="1:11" ht="13.8" x14ac:dyDescent="0.3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</row>
    <row r="416" spans="1:11" ht="13.8" x14ac:dyDescent="0.3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</row>
    <row r="417" spans="1:11" ht="13.8" x14ac:dyDescent="0.3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</row>
    <row r="418" spans="1:11" ht="13.8" x14ac:dyDescent="0.3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</row>
    <row r="419" spans="1:11" ht="13.8" x14ac:dyDescent="0.3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</row>
    <row r="420" spans="1:11" ht="13.8" x14ac:dyDescent="0.3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</row>
    <row r="421" spans="1:11" ht="13.8" x14ac:dyDescent="0.3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</row>
    <row r="422" spans="1:11" ht="13.8" x14ac:dyDescent="0.3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</row>
    <row r="423" spans="1:11" ht="13.8" x14ac:dyDescent="0.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</row>
    <row r="424" spans="1:11" ht="13.8" x14ac:dyDescent="0.3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</row>
    <row r="425" spans="1:11" ht="13.8" x14ac:dyDescent="0.3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</row>
    <row r="426" spans="1:11" ht="13.8" x14ac:dyDescent="0.3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</row>
    <row r="427" spans="1:11" ht="13.8" x14ac:dyDescent="0.3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</row>
    <row r="428" spans="1:11" ht="13.8" x14ac:dyDescent="0.3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</row>
    <row r="429" spans="1:11" ht="13.8" x14ac:dyDescent="0.3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</row>
    <row r="430" spans="1:11" ht="13.8" x14ac:dyDescent="0.3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</row>
    <row r="431" spans="1:11" ht="13.8" x14ac:dyDescent="0.3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</row>
    <row r="432" spans="1:11" ht="13.8" x14ac:dyDescent="0.3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</row>
    <row r="433" spans="1:11" ht="13.8" x14ac:dyDescent="0.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</row>
    <row r="434" spans="1:11" ht="13.8" x14ac:dyDescent="0.3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</row>
    <row r="435" spans="1:11" ht="13.8" x14ac:dyDescent="0.3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</row>
    <row r="436" spans="1:11" ht="13.8" x14ac:dyDescent="0.3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</row>
    <row r="437" spans="1:11" ht="13.8" x14ac:dyDescent="0.3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</row>
    <row r="438" spans="1:11" ht="13.8" x14ac:dyDescent="0.3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</row>
    <row r="439" spans="1:11" ht="13.8" x14ac:dyDescent="0.3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</row>
    <row r="440" spans="1:11" ht="13.8" x14ac:dyDescent="0.3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</row>
    <row r="441" spans="1:11" ht="13.8" x14ac:dyDescent="0.3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</row>
    <row r="442" spans="1:11" ht="13.8" x14ac:dyDescent="0.3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</row>
    <row r="443" spans="1:11" ht="13.8" x14ac:dyDescent="0.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</row>
    <row r="444" spans="1:11" ht="13.8" x14ac:dyDescent="0.3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</row>
    <row r="445" spans="1:11" ht="13.8" x14ac:dyDescent="0.3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</row>
    <row r="446" spans="1:11" ht="13.8" x14ac:dyDescent="0.3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</row>
    <row r="447" spans="1:11" ht="13.8" x14ac:dyDescent="0.3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</row>
    <row r="448" spans="1:11" ht="13.8" x14ac:dyDescent="0.3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</row>
    <row r="449" spans="1:11" ht="13.8" x14ac:dyDescent="0.3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</row>
    <row r="450" spans="1:11" ht="13.8" x14ac:dyDescent="0.3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</row>
    <row r="451" spans="1:11" ht="13.8" x14ac:dyDescent="0.3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</row>
    <row r="452" spans="1:11" ht="13.8" x14ac:dyDescent="0.3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</row>
    <row r="453" spans="1:11" ht="13.8" x14ac:dyDescent="0.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</row>
    <row r="454" spans="1:11" ht="13.8" x14ac:dyDescent="0.3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</row>
    <row r="455" spans="1:11" ht="13.8" x14ac:dyDescent="0.3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</row>
    <row r="456" spans="1:11" ht="13.8" x14ac:dyDescent="0.3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</row>
    <row r="457" spans="1:11" ht="13.8" x14ac:dyDescent="0.3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</row>
    <row r="458" spans="1:11" ht="13.8" x14ac:dyDescent="0.3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</row>
    <row r="459" spans="1:11" ht="13.8" x14ac:dyDescent="0.3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</row>
    <row r="460" spans="1:11" ht="13.8" x14ac:dyDescent="0.3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</row>
    <row r="461" spans="1:11" ht="13.8" x14ac:dyDescent="0.3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</row>
    <row r="462" spans="1:11" ht="13.8" x14ac:dyDescent="0.3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</row>
    <row r="463" spans="1:11" ht="13.8" x14ac:dyDescent="0.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</row>
    <row r="464" spans="1:11" ht="13.8" x14ac:dyDescent="0.3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</row>
    <row r="465" spans="1:11" ht="13.8" x14ac:dyDescent="0.3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</row>
    <row r="466" spans="1:11" ht="13.8" x14ac:dyDescent="0.3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</row>
    <row r="467" spans="1:11" ht="13.8" x14ac:dyDescent="0.3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</row>
    <row r="468" spans="1:11" ht="13.8" x14ac:dyDescent="0.3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</row>
    <row r="469" spans="1:11" ht="13.8" x14ac:dyDescent="0.3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</row>
    <row r="470" spans="1:11" ht="13.8" x14ac:dyDescent="0.3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</row>
    <row r="471" spans="1:11" ht="13.8" x14ac:dyDescent="0.3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</row>
    <row r="472" spans="1:11" ht="13.8" x14ac:dyDescent="0.3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</row>
    <row r="473" spans="1:11" ht="13.8" x14ac:dyDescent="0.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</row>
    <row r="474" spans="1:11" ht="13.8" x14ac:dyDescent="0.3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</row>
    <row r="475" spans="1:11" ht="13.8" x14ac:dyDescent="0.3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</row>
    <row r="476" spans="1:11" ht="13.8" x14ac:dyDescent="0.3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</row>
    <row r="477" spans="1:11" ht="13.8" x14ac:dyDescent="0.3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</row>
    <row r="478" spans="1:11" ht="13.8" x14ac:dyDescent="0.3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</row>
    <row r="479" spans="1:11" ht="13.8" x14ac:dyDescent="0.3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</row>
    <row r="480" spans="1:11" ht="13.8" x14ac:dyDescent="0.3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</row>
    <row r="481" spans="1:11" ht="13.8" x14ac:dyDescent="0.3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</row>
    <row r="482" spans="1:11" ht="13.8" x14ac:dyDescent="0.3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</row>
    <row r="483" spans="1:11" ht="13.8" x14ac:dyDescent="0.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</row>
    <row r="484" spans="1:11" ht="13.8" x14ac:dyDescent="0.3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</row>
    <row r="485" spans="1:11" ht="13.8" x14ac:dyDescent="0.3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</row>
    <row r="486" spans="1:11" ht="13.8" x14ac:dyDescent="0.3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</row>
    <row r="487" spans="1:11" ht="13.8" x14ac:dyDescent="0.3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</row>
    <row r="488" spans="1:11" ht="13.8" x14ac:dyDescent="0.3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</row>
    <row r="489" spans="1:11" ht="13.8" x14ac:dyDescent="0.3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</row>
    <row r="490" spans="1:11" ht="13.8" x14ac:dyDescent="0.3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</row>
    <row r="491" spans="1:11" ht="13.8" x14ac:dyDescent="0.3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</row>
    <row r="492" spans="1:11" ht="13.8" x14ac:dyDescent="0.3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</row>
    <row r="493" spans="1:11" ht="13.8" x14ac:dyDescent="0.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</row>
    <row r="494" spans="1:11" ht="13.8" x14ac:dyDescent="0.3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</row>
    <row r="495" spans="1:11" ht="13.8" x14ac:dyDescent="0.3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</row>
    <row r="496" spans="1:11" ht="13.8" x14ac:dyDescent="0.3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</row>
    <row r="497" spans="1:11" ht="13.8" x14ac:dyDescent="0.3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</row>
    <row r="498" spans="1:11" ht="13.8" x14ac:dyDescent="0.3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</row>
    <row r="499" spans="1:11" ht="13.8" x14ac:dyDescent="0.3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</row>
    <row r="500" spans="1:11" ht="13.8" x14ac:dyDescent="0.3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</row>
    <row r="501" spans="1:11" ht="13.8" x14ac:dyDescent="0.3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</row>
    <row r="502" spans="1:11" ht="13.8" x14ac:dyDescent="0.3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</row>
    <row r="503" spans="1:11" ht="13.8" x14ac:dyDescent="0.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</row>
    <row r="504" spans="1:11" ht="13.8" x14ac:dyDescent="0.3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</row>
    <row r="505" spans="1:11" ht="13.8" x14ac:dyDescent="0.3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</row>
    <row r="506" spans="1:11" ht="13.8" x14ac:dyDescent="0.3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</row>
    <row r="507" spans="1:11" ht="13.8" x14ac:dyDescent="0.3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</row>
    <row r="508" spans="1:11" ht="13.8" x14ac:dyDescent="0.3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</row>
    <row r="509" spans="1:11" ht="13.8" x14ac:dyDescent="0.3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</row>
    <row r="510" spans="1:11" ht="13.8" x14ac:dyDescent="0.3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</row>
    <row r="511" spans="1:11" ht="13.8" x14ac:dyDescent="0.3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</row>
    <row r="512" spans="1:11" ht="13.8" x14ac:dyDescent="0.3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</row>
    <row r="513" spans="1:11" ht="13.8" x14ac:dyDescent="0.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</row>
    <row r="514" spans="1:11" ht="13.8" x14ac:dyDescent="0.3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</row>
    <row r="515" spans="1:11" ht="13.8" x14ac:dyDescent="0.3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</row>
    <row r="516" spans="1:11" ht="13.8" x14ac:dyDescent="0.3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</row>
    <row r="517" spans="1:11" ht="13.8" x14ac:dyDescent="0.3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</row>
    <row r="518" spans="1:11" ht="13.8" x14ac:dyDescent="0.3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</row>
    <row r="519" spans="1:11" ht="13.8" x14ac:dyDescent="0.3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</row>
    <row r="520" spans="1:11" ht="13.8" x14ac:dyDescent="0.3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</row>
    <row r="521" spans="1:11" ht="13.8" x14ac:dyDescent="0.3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</row>
    <row r="522" spans="1:11" ht="13.8" x14ac:dyDescent="0.3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</row>
    <row r="523" spans="1:11" ht="13.8" x14ac:dyDescent="0.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</row>
    <row r="524" spans="1:11" ht="13.8" x14ac:dyDescent="0.3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</row>
    <row r="525" spans="1:11" ht="13.8" x14ac:dyDescent="0.3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</row>
    <row r="526" spans="1:11" ht="13.8" x14ac:dyDescent="0.3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</row>
    <row r="527" spans="1:11" ht="13.8" x14ac:dyDescent="0.3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</row>
    <row r="528" spans="1:11" ht="13.8" x14ac:dyDescent="0.3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</row>
    <row r="529" spans="1:11" ht="13.8" x14ac:dyDescent="0.3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</row>
    <row r="530" spans="1:11" ht="13.8" x14ac:dyDescent="0.3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</row>
    <row r="531" spans="1:11" ht="13.8" x14ac:dyDescent="0.3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</row>
    <row r="532" spans="1:11" ht="13.8" x14ac:dyDescent="0.3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</row>
    <row r="533" spans="1:11" ht="13.8" x14ac:dyDescent="0.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</row>
    <row r="534" spans="1:11" ht="13.8" x14ac:dyDescent="0.3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</row>
    <row r="535" spans="1:11" ht="13.8" x14ac:dyDescent="0.3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</row>
    <row r="536" spans="1:11" ht="13.8" x14ac:dyDescent="0.3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</row>
    <row r="537" spans="1:11" ht="13.8" x14ac:dyDescent="0.3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</row>
    <row r="538" spans="1:11" ht="13.8" x14ac:dyDescent="0.3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</row>
    <row r="539" spans="1:11" ht="13.8" x14ac:dyDescent="0.3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</row>
    <row r="540" spans="1:11" ht="13.8" x14ac:dyDescent="0.3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</row>
    <row r="541" spans="1:11" ht="13.8" x14ac:dyDescent="0.3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</row>
    <row r="542" spans="1:11" ht="13.8" x14ac:dyDescent="0.3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</row>
    <row r="543" spans="1:11" ht="13.8" x14ac:dyDescent="0.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</row>
    <row r="544" spans="1:11" ht="13.8" x14ac:dyDescent="0.3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</row>
    <row r="545" spans="1:11" ht="13.8" x14ac:dyDescent="0.3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</row>
    <row r="546" spans="1:11" ht="13.8" x14ac:dyDescent="0.3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</row>
    <row r="547" spans="1:11" ht="13.8" x14ac:dyDescent="0.3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</row>
    <row r="548" spans="1:11" ht="13.8" x14ac:dyDescent="0.3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</row>
    <row r="549" spans="1:11" ht="13.8" x14ac:dyDescent="0.3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</row>
    <row r="550" spans="1:11" ht="13.8" x14ac:dyDescent="0.3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</row>
    <row r="551" spans="1:11" ht="13.8" x14ac:dyDescent="0.3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</row>
    <row r="552" spans="1:11" ht="13.8" x14ac:dyDescent="0.3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</row>
    <row r="553" spans="1:11" ht="13.8" x14ac:dyDescent="0.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</row>
    <row r="554" spans="1:11" ht="13.8" x14ac:dyDescent="0.3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</row>
    <row r="555" spans="1:11" ht="13.8" x14ac:dyDescent="0.3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</row>
    <row r="556" spans="1:11" ht="13.8" x14ac:dyDescent="0.3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</row>
    <row r="557" spans="1:11" ht="13.8" x14ac:dyDescent="0.3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</row>
    <row r="558" spans="1:11" ht="13.8" x14ac:dyDescent="0.3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</row>
    <row r="559" spans="1:11" ht="13.8" x14ac:dyDescent="0.3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</row>
    <row r="560" spans="1:11" ht="13.8" x14ac:dyDescent="0.3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</row>
    <row r="561" spans="1:11" ht="13.8" x14ac:dyDescent="0.3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</row>
    <row r="562" spans="1:11" ht="13.8" x14ac:dyDescent="0.3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</row>
    <row r="563" spans="1:11" ht="13.8" x14ac:dyDescent="0.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</row>
    <row r="564" spans="1:11" ht="13.8" x14ac:dyDescent="0.3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</row>
    <row r="565" spans="1:11" ht="13.8" x14ac:dyDescent="0.3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</row>
    <row r="566" spans="1:11" ht="13.8" x14ac:dyDescent="0.3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</row>
    <row r="567" spans="1:11" ht="13.8" x14ac:dyDescent="0.3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</row>
    <row r="568" spans="1:11" ht="13.8" x14ac:dyDescent="0.3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</row>
    <row r="569" spans="1:11" ht="13.8" x14ac:dyDescent="0.3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</row>
    <row r="570" spans="1:11" ht="13.8" x14ac:dyDescent="0.3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</row>
    <row r="571" spans="1:11" ht="13.8" x14ac:dyDescent="0.3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</row>
    <row r="572" spans="1:11" ht="13.8" x14ac:dyDescent="0.3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</row>
    <row r="573" spans="1:11" ht="13.8" x14ac:dyDescent="0.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</row>
    <row r="574" spans="1:11" ht="13.8" x14ac:dyDescent="0.3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</row>
    <row r="575" spans="1:11" ht="13.8" x14ac:dyDescent="0.3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</row>
    <row r="576" spans="1:11" ht="13.8" x14ac:dyDescent="0.3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</row>
    <row r="577" spans="1:11" ht="13.8" x14ac:dyDescent="0.3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</row>
    <row r="578" spans="1:11" ht="13.8" x14ac:dyDescent="0.3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</row>
    <row r="579" spans="1:11" ht="13.8" x14ac:dyDescent="0.3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</row>
    <row r="580" spans="1:11" ht="13.8" x14ac:dyDescent="0.3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</row>
    <row r="581" spans="1:11" ht="13.8" x14ac:dyDescent="0.3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</row>
    <row r="582" spans="1:11" ht="13.8" x14ac:dyDescent="0.3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</row>
    <row r="583" spans="1:11" ht="13.8" x14ac:dyDescent="0.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</row>
    <row r="584" spans="1:11" ht="13.8" x14ac:dyDescent="0.3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</row>
    <row r="585" spans="1:11" ht="13.8" x14ac:dyDescent="0.3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</row>
    <row r="586" spans="1:11" ht="13.8" x14ac:dyDescent="0.3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</row>
    <row r="587" spans="1:11" ht="13.8" x14ac:dyDescent="0.3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</row>
    <row r="588" spans="1:11" ht="13.8" x14ac:dyDescent="0.3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</row>
    <row r="589" spans="1:11" ht="13.8" x14ac:dyDescent="0.3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</row>
    <row r="590" spans="1:11" ht="13.8" x14ac:dyDescent="0.3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</row>
    <row r="591" spans="1:11" ht="13.8" x14ac:dyDescent="0.3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</row>
    <row r="592" spans="1:11" ht="13.8" x14ac:dyDescent="0.3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</row>
    <row r="593" spans="1:11" ht="13.8" x14ac:dyDescent="0.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</row>
    <row r="594" spans="1:11" ht="13.8" x14ac:dyDescent="0.3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</row>
    <row r="595" spans="1:11" ht="13.8" x14ac:dyDescent="0.3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</row>
    <row r="596" spans="1:11" ht="13.8" x14ac:dyDescent="0.3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</row>
    <row r="597" spans="1:11" ht="13.8" x14ac:dyDescent="0.3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</row>
    <row r="598" spans="1:11" ht="13.8" x14ac:dyDescent="0.3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</row>
    <row r="599" spans="1:11" ht="13.8" x14ac:dyDescent="0.3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</row>
    <row r="600" spans="1:11" ht="13.8" x14ac:dyDescent="0.3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</row>
    <row r="601" spans="1:11" ht="13.8" x14ac:dyDescent="0.3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</row>
    <row r="602" spans="1:11" ht="13.8" x14ac:dyDescent="0.3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</row>
    <row r="603" spans="1:11" ht="13.8" x14ac:dyDescent="0.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</row>
    <row r="604" spans="1:11" ht="13.8" x14ac:dyDescent="0.3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</row>
    <row r="605" spans="1:11" ht="13.8" x14ac:dyDescent="0.3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</row>
    <row r="606" spans="1:11" ht="13.8" x14ac:dyDescent="0.3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</row>
    <row r="607" spans="1:11" ht="13.8" x14ac:dyDescent="0.3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</row>
    <row r="608" spans="1:11" ht="13.8" x14ac:dyDescent="0.3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</row>
    <row r="609" spans="1:11" ht="13.8" x14ac:dyDescent="0.3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</row>
    <row r="610" spans="1:11" ht="13.8" x14ac:dyDescent="0.3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</row>
    <row r="611" spans="1:11" ht="13.8" x14ac:dyDescent="0.3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</row>
    <row r="612" spans="1:11" ht="13.8" x14ac:dyDescent="0.3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</row>
    <row r="613" spans="1:11" ht="13.8" x14ac:dyDescent="0.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</row>
    <row r="614" spans="1:11" ht="13.8" x14ac:dyDescent="0.3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</row>
    <row r="615" spans="1:11" ht="13.8" x14ac:dyDescent="0.3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</row>
    <row r="616" spans="1:11" ht="13.8" x14ac:dyDescent="0.3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</row>
    <row r="617" spans="1:11" ht="13.8" x14ac:dyDescent="0.3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</row>
    <row r="618" spans="1:11" ht="13.8" x14ac:dyDescent="0.3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</row>
    <row r="619" spans="1:11" ht="13.8" x14ac:dyDescent="0.3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</row>
    <row r="620" spans="1:11" ht="13.8" x14ac:dyDescent="0.3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</row>
    <row r="621" spans="1:11" ht="13.8" x14ac:dyDescent="0.3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</row>
    <row r="622" spans="1:11" ht="13.8" x14ac:dyDescent="0.3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</row>
    <row r="623" spans="1:11" ht="13.8" x14ac:dyDescent="0.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</row>
    <row r="624" spans="1:11" ht="13.8" x14ac:dyDescent="0.3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</row>
    <row r="625" spans="1:11" ht="13.8" x14ac:dyDescent="0.3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</row>
    <row r="626" spans="1:11" ht="13.8" x14ac:dyDescent="0.3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</row>
    <row r="627" spans="1:11" ht="13.8" x14ac:dyDescent="0.3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</row>
    <row r="628" spans="1:11" ht="13.8" x14ac:dyDescent="0.3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</row>
    <row r="629" spans="1:11" ht="13.8" x14ac:dyDescent="0.3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</row>
    <row r="630" spans="1:11" ht="13.8" x14ac:dyDescent="0.3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</row>
    <row r="631" spans="1:11" ht="13.8" x14ac:dyDescent="0.3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</row>
    <row r="632" spans="1:11" ht="13.8" x14ac:dyDescent="0.3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</row>
    <row r="633" spans="1:11" ht="13.8" x14ac:dyDescent="0.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</row>
    <row r="634" spans="1:11" ht="13.8" x14ac:dyDescent="0.3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</row>
    <row r="635" spans="1:11" ht="13.8" x14ac:dyDescent="0.3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</row>
    <row r="636" spans="1:11" ht="13.8" x14ac:dyDescent="0.3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</row>
    <row r="637" spans="1:11" ht="13.8" x14ac:dyDescent="0.3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</row>
    <row r="638" spans="1:11" ht="13.8" x14ac:dyDescent="0.3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</row>
    <row r="639" spans="1:11" ht="13.8" x14ac:dyDescent="0.3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</row>
    <row r="640" spans="1:11" ht="13.8" x14ac:dyDescent="0.3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</row>
    <row r="641" spans="1:11" ht="13.8" x14ac:dyDescent="0.3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</row>
    <row r="642" spans="1:11" ht="13.8" x14ac:dyDescent="0.3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</row>
    <row r="643" spans="1:11" ht="13.8" x14ac:dyDescent="0.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</row>
    <row r="644" spans="1:11" ht="13.8" x14ac:dyDescent="0.3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</row>
    <row r="645" spans="1:11" ht="13.8" x14ac:dyDescent="0.3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</row>
    <row r="646" spans="1:11" ht="13.8" x14ac:dyDescent="0.3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</row>
    <row r="647" spans="1:11" ht="13.8" x14ac:dyDescent="0.3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</row>
    <row r="648" spans="1:11" ht="13.8" x14ac:dyDescent="0.3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</row>
    <row r="649" spans="1:11" ht="13.8" x14ac:dyDescent="0.3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</row>
    <row r="650" spans="1:11" ht="13.8" x14ac:dyDescent="0.3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</row>
    <row r="651" spans="1:11" ht="13.8" x14ac:dyDescent="0.3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</row>
    <row r="652" spans="1:11" ht="13.8" x14ac:dyDescent="0.3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</row>
    <row r="653" spans="1:11" ht="13.8" x14ac:dyDescent="0.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</row>
    <row r="654" spans="1:11" ht="13.8" x14ac:dyDescent="0.3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</row>
    <row r="655" spans="1:11" ht="13.8" x14ac:dyDescent="0.3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</row>
    <row r="656" spans="1:11" ht="13.8" x14ac:dyDescent="0.3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</row>
    <row r="657" spans="1:11" ht="13.8" x14ac:dyDescent="0.3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</row>
    <row r="658" spans="1:11" ht="13.8" x14ac:dyDescent="0.3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</row>
    <row r="659" spans="1:11" ht="13.8" x14ac:dyDescent="0.3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</row>
    <row r="660" spans="1:11" ht="13.8" x14ac:dyDescent="0.3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</row>
    <row r="661" spans="1:11" ht="13.8" x14ac:dyDescent="0.3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</row>
    <row r="662" spans="1:11" ht="13.8" x14ac:dyDescent="0.3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</row>
    <row r="663" spans="1:11" ht="13.8" x14ac:dyDescent="0.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</row>
    <row r="664" spans="1:11" ht="13.8" x14ac:dyDescent="0.3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</row>
    <row r="665" spans="1:11" ht="13.8" x14ac:dyDescent="0.3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</row>
    <row r="666" spans="1:11" ht="13.8" x14ac:dyDescent="0.3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</row>
    <row r="667" spans="1:11" ht="13.8" x14ac:dyDescent="0.3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</row>
    <row r="668" spans="1:11" ht="13.8" x14ac:dyDescent="0.3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</row>
    <row r="669" spans="1:11" ht="13.8" x14ac:dyDescent="0.3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</row>
    <row r="670" spans="1:11" ht="13.8" x14ac:dyDescent="0.3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</row>
    <row r="671" spans="1:11" ht="13.8" x14ac:dyDescent="0.3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</row>
    <row r="672" spans="1:11" ht="13.8" x14ac:dyDescent="0.3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</row>
    <row r="673" spans="1:11" ht="13.8" x14ac:dyDescent="0.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</row>
    <row r="674" spans="1:11" ht="13.8" x14ac:dyDescent="0.3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</row>
    <row r="675" spans="1:11" ht="13.8" x14ac:dyDescent="0.3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</row>
    <row r="676" spans="1:11" ht="13.8" x14ac:dyDescent="0.3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</row>
    <row r="677" spans="1:11" ht="13.8" x14ac:dyDescent="0.3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</row>
    <row r="678" spans="1:11" ht="13.8" x14ac:dyDescent="0.3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</row>
    <row r="679" spans="1:11" ht="13.8" x14ac:dyDescent="0.3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</row>
    <row r="680" spans="1:11" ht="13.8" x14ac:dyDescent="0.3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</row>
    <row r="681" spans="1:11" ht="13.8" x14ac:dyDescent="0.3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</row>
    <row r="682" spans="1:11" ht="13.8" x14ac:dyDescent="0.3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</row>
    <row r="683" spans="1:11" ht="13.8" x14ac:dyDescent="0.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</row>
    <row r="684" spans="1:11" ht="13.8" x14ac:dyDescent="0.3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</row>
    <row r="685" spans="1:11" ht="13.8" x14ac:dyDescent="0.3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</row>
    <row r="686" spans="1:11" ht="13.8" x14ac:dyDescent="0.3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</row>
    <row r="687" spans="1:11" ht="13.8" x14ac:dyDescent="0.3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</row>
    <row r="688" spans="1:11" ht="13.8" x14ac:dyDescent="0.3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</row>
    <row r="689" spans="1:11" ht="13.8" x14ac:dyDescent="0.3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</row>
    <row r="690" spans="1:11" ht="13.8" x14ac:dyDescent="0.3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</row>
    <row r="691" spans="1:11" ht="13.8" x14ac:dyDescent="0.3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</row>
    <row r="692" spans="1:11" ht="13.8" x14ac:dyDescent="0.3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</row>
    <row r="693" spans="1:11" ht="13.8" x14ac:dyDescent="0.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</row>
    <row r="694" spans="1:11" ht="13.8" x14ac:dyDescent="0.3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</row>
    <row r="695" spans="1:11" ht="13.8" x14ac:dyDescent="0.3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</row>
    <row r="696" spans="1:11" ht="13.8" x14ac:dyDescent="0.3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</row>
    <row r="697" spans="1:11" ht="13.8" x14ac:dyDescent="0.3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</row>
    <row r="698" spans="1:11" ht="13.8" x14ac:dyDescent="0.3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</row>
    <row r="699" spans="1:11" ht="13.8" x14ac:dyDescent="0.3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</row>
    <row r="700" spans="1:11" ht="13.8" x14ac:dyDescent="0.3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</row>
    <row r="701" spans="1:11" ht="13.8" x14ac:dyDescent="0.3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</row>
    <row r="702" spans="1:11" ht="13.8" x14ac:dyDescent="0.3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</row>
    <row r="703" spans="1:11" ht="13.8" x14ac:dyDescent="0.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</row>
    <row r="704" spans="1:11" ht="13.8" x14ac:dyDescent="0.3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</row>
    <row r="705" spans="1:11" ht="13.8" x14ac:dyDescent="0.3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</row>
    <row r="706" spans="1:11" ht="13.8" x14ac:dyDescent="0.3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</row>
    <row r="707" spans="1:11" ht="13.8" x14ac:dyDescent="0.3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</row>
    <row r="708" spans="1:11" ht="13.8" x14ac:dyDescent="0.3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</row>
    <row r="709" spans="1:11" ht="13.8" x14ac:dyDescent="0.3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</row>
    <row r="710" spans="1:11" ht="13.8" x14ac:dyDescent="0.3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</row>
    <row r="711" spans="1:11" ht="13.8" x14ac:dyDescent="0.3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</row>
    <row r="712" spans="1:11" ht="13.8" x14ac:dyDescent="0.3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</row>
    <row r="713" spans="1:11" ht="13.8" x14ac:dyDescent="0.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</row>
    <row r="714" spans="1:11" ht="13.8" x14ac:dyDescent="0.3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</row>
    <row r="715" spans="1:11" ht="13.8" x14ac:dyDescent="0.3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</row>
    <row r="716" spans="1:11" ht="13.8" x14ac:dyDescent="0.3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</row>
    <row r="717" spans="1:11" ht="13.8" x14ac:dyDescent="0.3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</row>
    <row r="718" spans="1:11" ht="13.8" x14ac:dyDescent="0.3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</row>
    <row r="719" spans="1:11" ht="13.8" x14ac:dyDescent="0.3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</row>
    <row r="720" spans="1:11" ht="13.8" x14ac:dyDescent="0.3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</row>
    <row r="721" spans="1:11" ht="13.8" x14ac:dyDescent="0.3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</row>
    <row r="722" spans="1:11" ht="13.8" x14ac:dyDescent="0.3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</row>
    <row r="723" spans="1:11" ht="13.8" x14ac:dyDescent="0.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</row>
    <row r="724" spans="1:11" ht="13.8" x14ac:dyDescent="0.3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</row>
    <row r="725" spans="1:11" ht="13.8" x14ac:dyDescent="0.3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</row>
    <row r="726" spans="1:11" ht="13.8" x14ac:dyDescent="0.3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</row>
    <row r="727" spans="1:11" ht="13.8" x14ac:dyDescent="0.3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</row>
    <row r="728" spans="1:11" ht="13.8" x14ac:dyDescent="0.3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</row>
    <row r="729" spans="1:11" ht="13.8" x14ac:dyDescent="0.3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</row>
    <row r="730" spans="1:11" ht="13.8" x14ac:dyDescent="0.3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</row>
    <row r="731" spans="1:11" ht="13.8" x14ac:dyDescent="0.3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</row>
    <row r="732" spans="1:11" ht="13.8" x14ac:dyDescent="0.3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</row>
    <row r="733" spans="1:11" ht="13.8" x14ac:dyDescent="0.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</row>
    <row r="734" spans="1:11" ht="13.8" x14ac:dyDescent="0.3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</row>
    <row r="735" spans="1:11" ht="13.8" x14ac:dyDescent="0.3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</row>
    <row r="736" spans="1:11" ht="13.8" x14ac:dyDescent="0.3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</row>
    <row r="737" spans="1:11" ht="13.8" x14ac:dyDescent="0.3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</row>
    <row r="738" spans="1:11" ht="13.8" x14ac:dyDescent="0.3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</row>
    <row r="739" spans="1:11" ht="13.8" x14ac:dyDescent="0.3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</row>
    <row r="740" spans="1:11" ht="13.8" x14ac:dyDescent="0.3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</row>
    <row r="741" spans="1:11" ht="13.8" x14ac:dyDescent="0.3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</row>
    <row r="742" spans="1:11" ht="13.8" x14ac:dyDescent="0.3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</row>
    <row r="743" spans="1:11" ht="13.8" x14ac:dyDescent="0.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</row>
    <row r="744" spans="1:11" ht="13.8" x14ac:dyDescent="0.3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</row>
    <row r="745" spans="1:11" ht="13.8" x14ac:dyDescent="0.3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</row>
    <row r="746" spans="1:11" ht="13.8" x14ac:dyDescent="0.3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</row>
    <row r="747" spans="1:11" ht="13.8" x14ac:dyDescent="0.3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</row>
    <row r="748" spans="1:11" ht="13.8" x14ac:dyDescent="0.3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</row>
    <row r="749" spans="1:11" ht="13.8" x14ac:dyDescent="0.3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</row>
    <row r="750" spans="1:11" ht="13.8" x14ac:dyDescent="0.3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</row>
    <row r="751" spans="1:11" ht="13.8" x14ac:dyDescent="0.3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</row>
    <row r="752" spans="1:11" ht="13.8" x14ac:dyDescent="0.3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</row>
    <row r="753" spans="1:11" ht="13.8" x14ac:dyDescent="0.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</row>
    <row r="754" spans="1:11" ht="13.8" x14ac:dyDescent="0.3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</row>
    <row r="755" spans="1:11" ht="13.8" x14ac:dyDescent="0.3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</row>
    <row r="756" spans="1:11" ht="13.8" x14ac:dyDescent="0.3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</row>
    <row r="757" spans="1:11" ht="13.8" x14ac:dyDescent="0.3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</row>
    <row r="758" spans="1:11" ht="13.8" x14ac:dyDescent="0.3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</row>
    <row r="759" spans="1:11" ht="13.8" x14ac:dyDescent="0.3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</row>
    <row r="760" spans="1:11" ht="13.8" x14ac:dyDescent="0.3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</row>
    <row r="761" spans="1:11" ht="13.8" x14ac:dyDescent="0.3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</row>
    <row r="762" spans="1:11" ht="13.8" x14ac:dyDescent="0.3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</row>
    <row r="763" spans="1:11" ht="13.8" x14ac:dyDescent="0.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</row>
    <row r="764" spans="1:11" ht="13.8" x14ac:dyDescent="0.3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</row>
    <row r="765" spans="1:11" ht="13.8" x14ac:dyDescent="0.3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</row>
    <row r="766" spans="1:11" ht="13.8" x14ac:dyDescent="0.3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</row>
    <row r="767" spans="1:11" ht="13.8" x14ac:dyDescent="0.3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</row>
    <row r="768" spans="1:11" ht="13.8" x14ac:dyDescent="0.3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</row>
    <row r="769" spans="1:11" ht="13.8" x14ac:dyDescent="0.3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</row>
    <row r="770" spans="1:11" ht="13.8" x14ac:dyDescent="0.3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</row>
    <row r="771" spans="1:11" ht="13.8" x14ac:dyDescent="0.3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</row>
    <row r="772" spans="1:11" ht="13.8" x14ac:dyDescent="0.3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</row>
    <row r="773" spans="1:11" ht="13.8" x14ac:dyDescent="0.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</row>
    <row r="774" spans="1:11" ht="13.8" x14ac:dyDescent="0.3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</row>
    <row r="775" spans="1:11" ht="13.8" x14ac:dyDescent="0.3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</row>
    <row r="776" spans="1:11" ht="13.8" x14ac:dyDescent="0.3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</row>
    <row r="777" spans="1:11" ht="13.8" x14ac:dyDescent="0.3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</row>
    <row r="778" spans="1:11" ht="13.8" x14ac:dyDescent="0.3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</row>
    <row r="779" spans="1:11" ht="13.8" x14ac:dyDescent="0.3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</row>
    <row r="780" spans="1:11" ht="13.8" x14ac:dyDescent="0.3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</row>
    <row r="781" spans="1:11" ht="13.8" x14ac:dyDescent="0.3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</row>
    <row r="782" spans="1:11" ht="13.8" x14ac:dyDescent="0.3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</row>
    <row r="783" spans="1:11" ht="13.8" x14ac:dyDescent="0.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</row>
    <row r="784" spans="1:11" ht="13.8" x14ac:dyDescent="0.3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</row>
    <row r="785" spans="1:11" ht="13.8" x14ac:dyDescent="0.3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</row>
    <row r="786" spans="1:11" ht="13.8" x14ac:dyDescent="0.3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</row>
    <row r="787" spans="1:11" ht="13.8" x14ac:dyDescent="0.3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</row>
    <row r="788" spans="1:11" ht="13.8" x14ac:dyDescent="0.3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</row>
    <row r="789" spans="1:11" ht="13.8" x14ac:dyDescent="0.3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</row>
    <row r="790" spans="1:11" ht="13.8" x14ac:dyDescent="0.3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</row>
    <row r="791" spans="1:11" ht="13.8" x14ac:dyDescent="0.3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</row>
    <row r="792" spans="1:11" ht="13.8" x14ac:dyDescent="0.3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</row>
    <row r="793" spans="1:11" ht="13.8" x14ac:dyDescent="0.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</row>
    <row r="794" spans="1:11" ht="13.8" x14ac:dyDescent="0.3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</row>
    <row r="795" spans="1:11" ht="13.8" x14ac:dyDescent="0.3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</row>
    <row r="796" spans="1:11" ht="13.8" x14ac:dyDescent="0.3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</row>
    <row r="797" spans="1:11" ht="13.8" x14ac:dyDescent="0.3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</row>
    <row r="798" spans="1:11" ht="13.8" x14ac:dyDescent="0.3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</row>
    <row r="799" spans="1:11" ht="13.8" x14ac:dyDescent="0.3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</row>
    <row r="800" spans="1:11" ht="13.8" x14ac:dyDescent="0.3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</row>
    <row r="801" spans="1:11" ht="13.8" x14ac:dyDescent="0.3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</row>
    <row r="802" spans="1:11" ht="13.8" x14ac:dyDescent="0.3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</row>
    <row r="803" spans="1:11" ht="13.8" x14ac:dyDescent="0.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</row>
    <row r="804" spans="1:11" ht="13.8" x14ac:dyDescent="0.3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</row>
    <row r="805" spans="1:11" ht="13.8" x14ac:dyDescent="0.3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</row>
    <row r="806" spans="1:11" ht="13.8" x14ac:dyDescent="0.3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</row>
    <row r="807" spans="1:11" ht="13.8" x14ac:dyDescent="0.3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</row>
    <row r="808" spans="1:11" ht="13.8" x14ac:dyDescent="0.3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</row>
    <row r="809" spans="1:11" ht="13.8" x14ac:dyDescent="0.3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</row>
    <row r="810" spans="1:11" ht="13.8" x14ac:dyDescent="0.3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</row>
    <row r="811" spans="1:11" ht="13.8" x14ac:dyDescent="0.3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</row>
    <row r="812" spans="1:11" ht="13.8" x14ac:dyDescent="0.3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</row>
    <row r="813" spans="1:11" ht="13.8" x14ac:dyDescent="0.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</row>
    <row r="814" spans="1:11" ht="13.8" x14ac:dyDescent="0.3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</row>
    <row r="815" spans="1:11" ht="13.8" x14ac:dyDescent="0.3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</row>
    <row r="816" spans="1:11" ht="13.8" x14ac:dyDescent="0.3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</row>
    <row r="817" spans="1:11" ht="13.8" x14ac:dyDescent="0.3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</row>
    <row r="818" spans="1:11" ht="13.8" x14ac:dyDescent="0.3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</row>
    <row r="819" spans="1:11" ht="13.8" x14ac:dyDescent="0.3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</row>
    <row r="820" spans="1:11" ht="13.8" x14ac:dyDescent="0.3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</row>
    <row r="821" spans="1:11" ht="13.8" x14ac:dyDescent="0.3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</row>
    <row r="822" spans="1:11" ht="13.8" x14ac:dyDescent="0.3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</row>
    <row r="823" spans="1:11" ht="13.8" x14ac:dyDescent="0.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</row>
    <row r="824" spans="1:11" ht="13.8" x14ac:dyDescent="0.3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</row>
    <row r="825" spans="1:11" ht="13.8" x14ac:dyDescent="0.3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</row>
    <row r="826" spans="1:11" ht="13.8" x14ac:dyDescent="0.3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</row>
    <row r="827" spans="1:11" ht="13.8" x14ac:dyDescent="0.3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</row>
    <row r="828" spans="1:11" ht="13.8" x14ac:dyDescent="0.3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</row>
    <row r="829" spans="1:11" ht="13.8" x14ac:dyDescent="0.3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</row>
    <row r="830" spans="1:11" ht="13.8" x14ac:dyDescent="0.3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</row>
    <row r="831" spans="1:11" ht="13.8" x14ac:dyDescent="0.3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</row>
    <row r="832" spans="1:11" ht="13.8" x14ac:dyDescent="0.3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</row>
    <row r="833" spans="1:11" ht="13.8" x14ac:dyDescent="0.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</row>
    <row r="834" spans="1:11" ht="13.8" x14ac:dyDescent="0.3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</row>
    <row r="835" spans="1:11" ht="13.8" x14ac:dyDescent="0.3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</row>
    <row r="836" spans="1:11" ht="13.8" x14ac:dyDescent="0.3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</row>
    <row r="837" spans="1:11" ht="13.8" x14ac:dyDescent="0.3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</row>
    <row r="838" spans="1:11" ht="13.8" x14ac:dyDescent="0.3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</row>
    <row r="839" spans="1:11" ht="13.8" x14ac:dyDescent="0.3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</row>
    <row r="840" spans="1:11" ht="13.8" x14ac:dyDescent="0.3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</row>
    <row r="841" spans="1:11" ht="13.8" x14ac:dyDescent="0.3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</row>
    <row r="842" spans="1:11" ht="13.8" x14ac:dyDescent="0.3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</row>
    <row r="843" spans="1:11" ht="13.8" x14ac:dyDescent="0.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</row>
    <row r="844" spans="1:11" ht="13.8" x14ac:dyDescent="0.3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</row>
    <row r="845" spans="1:11" ht="13.8" x14ac:dyDescent="0.3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</row>
    <row r="846" spans="1:11" ht="13.8" x14ac:dyDescent="0.3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</row>
    <row r="847" spans="1:11" ht="13.8" x14ac:dyDescent="0.3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</row>
    <row r="848" spans="1:11" ht="13.8" x14ac:dyDescent="0.3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</row>
    <row r="849" spans="1:11" ht="13.8" x14ac:dyDescent="0.3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</row>
    <row r="850" spans="1:11" ht="13.8" x14ac:dyDescent="0.3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</row>
    <row r="851" spans="1:11" ht="13.8" x14ac:dyDescent="0.3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</row>
    <row r="852" spans="1:11" ht="13.8" x14ac:dyDescent="0.3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</row>
    <row r="853" spans="1:11" ht="13.8" x14ac:dyDescent="0.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</row>
    <row r="854" spans="1:11" ht="13.8" x14ac:dyDescent="0.3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</row>
    <row r="855" spans="1:11" ht="13.8" x14ac:dyDescent="0.3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</row>
    <row r="856" spans="1:11" ht="13.8" x14ac:dyDescent="0.3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</row>
    <row r="857" spans="1:11" ht="13.8" x14ac:dyDescent="0.3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</row>
    <row r="858" spans="1:11" ht="13.8" x14ac:dyDescent="0.3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</row>
    <row r="859" spans="1:11" ht="13.8" x14ac:dyDescent="0.3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</row>
    <row r="860" spans="1:11" ht="13.8" x14ac:dyDescent="0.3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</row>
    <row r="861" spans="1:11" ht="13.8" x14ac:dyDescent="0.3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</row>
    <row r="862" spans="1:11" ht="13.8" x14ac:dyDescent="0.3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</row>
    <row r="863" spans="1:11" ht="13.8" x14ac:dyDescent="0.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</row>
    <row r="864" spans="1:11" ht="13.8" x14ac:dyDescent="0.3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</row>
    <row r="865" spans="1:11" ht="13.8" x14ac:dyDescent="0.3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</row>
    <row r="866" spans="1:11" ht="13.8" x14ac:dyDescent="0.3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</row>
    <row r="867" spans="1:11" ht="13.8" x14ac:dyDescent="0.3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</row>
    <row r="868" spans="1:11" ht="13.8" x14ac:dyDescent="0.3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</row>
    <row r="869" spans="1:11" ht="13.8" x14ac:dyDescent="0.3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</row>
    <row r="870" spans="1:11" ht="13.8" x14ac:dyDescent="0.3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</row>
    <row r="871" spans="1:11" ht="13.8" x14ac:dyDescent="0.3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</row>
    <row r="872" spans="1:11" ht="13.8" x14ac:dyDescent="0.3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</row>
    <row r="873" spans="1:11" ht="13.8" x14ac:dyDescent="0.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</row>
    <row r="874" spans="1:11" ht="13.8" x14ac:dyDescent="0.3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</row>
    <row r="875" spans="1:11" ht="13.8" x14ac:dyDescent="0.3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</row>
    <row r="876" spans="1:11" ht="13.8" x14ac:dyDescent="0.3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</row>
    <row r="877" spans="1:11" ht="13.8" x14ac:dyDescent="0.3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</row>
    <row r="878" spans="1:11" ht="13.8" x14ac:dyDescent="0.3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</row>
    <row r="879" spans="1:11" ht="13.8" x14ac:dyDescent="0.3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</row>
    <row r="880" spans="1:11" ht="13.8" x14ac:dyDescent="0.3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</row>
    <row r="881" spans="1:11" ht="13.8" x14ac:dyDescent="0.3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</row>
    <row r="882" spans="1:11" ht="13.8" x14ac:dyDescent="0.3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</row>
    <row r="883" spans="1:11" ht="13.8" x14ac:dyDescent="0.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</row>
    <row r="884" spans="1:11" ht="13.8" x14ac:dyDescent="0.3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</row>
    <row r="885" spans="1:11" ht="13.8" x14ac:dyDescent="0.3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</row>
    <row r="886" spans="1:11" ht="13.8" x14ac:dyDescent="0.3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</row>
    <row r="887" spans="1:11" ht="13.8" x14ac:dyDescent="0.3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</row>
    <row r="888" spans="1:11" ht="13.8" x14ac:dyDescent="0.3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</row>
    <row r="889" spans="1:11" ht="13.8" x14ac:dyDescent="0.3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</row>
    <row r="890" spans="1:11" ht="13.8" x14ac:dyDescent="0.3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</row>
    <row r="891" spans="1:11" ht="13.8" x14ac:dyDescent="0.3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</row>
    <row r="892" spans="1:11" ht="13.8" x14ac:dyDescent="0.3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</row>
    <row r="893" spans="1:11" ht="13.8" x14ac:dyDescent="0.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</row>
    <row r="894" spans="1:11" ht="13.8" x14ac:dyDescent="0.3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</row>
    <row r="895" spans="1:11" ht="13.8" x14ac:dyDescent="0.3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</row>
    <row r="896" spans="1:11" ht="13.8" x14ac:dyDescent="0.3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</row>
    <row r="897" spans="1:11" ht="13.8" x14ac:dyDescent="0.3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</row>
    <row r="898" spans="1:11" ht="13.8" x14ac:dyDescent="0.3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</row>
    <row r="899" spans="1:11" ht="13.8" x14ac:dyDescent="0.3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</row>
    <row r="900" spans="1:11" ht="13.8" x14ac:dyDescent="0.3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</row>
    <row r="901" spans="1:11" ht="13.8" x14ac:dyDescent="0.3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</row>
    <row r="902" spans="1:11" ht="13.8" x14ac:dyDescent="0.3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</row>
    <row r="903" spans="1:11" ht="13.8" x14ac:dyDescent="0.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</row>
    <row r="904" spans="1:11" ht="13.8" x14ac:dyDescent="0.3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</row>
    <row r="905" spans="1:11" ht="13.8" x14ac:dyDescent="0.3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</row>
    <row r="906" spans="1:11" ht="13.8" x14ac:dyDescent="0.3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</row>
    <row r="907" spans="1:11" ht="13.8" x14ac:dyDescent="0.3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</row>
    <row r="908" spans="1:11" ht="13.8" x14ac:dyDescent="0.3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</row>
    <row r="909" spans="1:11" ht="13.8" x14ac:dyDescent="0.3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</row>
    <row r="910" spans="1:11" ht="13.8" x14ac:dyDescent="0.3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</row>
    <row r="911" spans="1:11" ht="13.8" x14ac:dyDescent="0.3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</row>
    <row r="912" spans="1:11" ht="13.8" x14ac:dyDescent="0.3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</row>
    <row r="913" spans="1:11" ht="13.8" x14ac:dyDescent="0.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</row>
    <row r="914" spans="1:11" ht="13.8" x14ac:dyDescent="0.3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</row>
    <row r="915" spans="1:11" ht="13.8" x14ac:dyDescent="0.3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</row>
    <row r="916" spans="1:11" ht="13.8" x14ac:dyDescent="0.3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</row>
    <row r="917" spans="1:11" ht="13.8" x14ac:dyDescent="0.3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</row>
    <row r="918" spans="1:11" ht="13.8" x14ac:dyDescent="0.3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</row>
    <row r="919" spans="1:11" ht="13.8" x14ac:dyDescent="0.3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</row>
    <row r="920" spans="1:11" ht="13.8" x14ac:dyDescent="0.3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</row>
    <row r="921" spans="1:11" ht="13.8" x14ac:dyDescent="0.3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</row>
    <row r="922" spans="1:11" ht="13.8" x14ac:dyDescent="0.3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</row>
    <row r="923" spans="1:11" ht="13.8" x14ac:dyDescent="0.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</row>
    <row r="924" spans="1:11" ht="13.8" x14ac:dyDescent="0.3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</row>
    <row r="925" spans="1:11" ht="13.8" x14ac:dyDescent="0.3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</row>
    <row r="926" spans="1:11" ht="13.8" x14ac:dyDescent="0.3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</row>
    <row r="927" spans="1:11" ht="13.8" x14ac:dyDescent="0.3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</row>
    <row r="928" spans="1:11" ht="13.8" x14ac:dyDescent="0.3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</row>
    <row r="929" spans="1:11" ht="13.8" x14ac:dyDescent="0.3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</row>
    <row r="930" spans="1:11" ht="13.8" x14ac:dyDescent="0.3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</row>
    <row r="931" spans="1:11" ht="13.8" x14ac:dyDescent="0.3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</row>
    <row r="932" spans="1:11" ht="13.8" x14ac:dyDescent="0.3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</row>
    <row r="933" spans="1:11" ht="13.8" x14ac:dyDescent="0.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</row>
    <row r="934" spans="1:11" ht="13.8" x14ac:dyDescent="0.3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</row>
    <row r="935" spans="1:11" ht="13.8" x14ac:dyDescent="0.3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</row>
    <row r="936" spans="1:11" ht="13.8" x14ac:dyDescent="0.3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</row>
    <row r="937" spans="1:11" ht="13.8" x14ac:dyDescent="0.3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</row>
    <row r="938" spans="1:11" ht="13.8" x14ac:dyDescent="0.3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</row>
    <row r="939" spans="1:11" ht="13.8" x14ac:dyDescent="0.3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</row>
    <row r="940" spans="1:11" ht="13.8" x14ac:dyDescent="0.3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</row>
    <row r="941" spans="1:11" ht="13.8" x14ac:dyDescent="0.3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</row>
    <row r="942" spans="1:11" ht="13.8" x14ac:dyDescent="0.3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</row>
    <row r="943" spans="1:11" ht="13.8" x14ac:dyDescent="0.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</row>
    <row r="944" spans="1:11" ht="13.8" x14ac:dyDescent="0.3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</row>
    <row r="945" spans="1:11" ht="13.8" x14ac:dyDescent="0.3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</row>
    <row r="946" spans="1:11" ht="13.8" x14ac:dyDescent="0.3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</row>
    <row r="947" spans="1:11" ht="13.8" x14ac:dyDescent="0.3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</row>
    <row r="948" spans="1:11" ht="13.8" x14ac:dyDescent="0.3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</row>
    <row r="949" spans="1:11" ht="13.8" x14ac:dyDescent="0.3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</row>
    <row r="950" spans="1:11" ht="13.8" x14ac:dyDescent="0.3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</row>
    <row r="951" spans="1:11" ht="13.8" x14ac:dyDescent="0.3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</row>
    <row r="952" spans="1:11" ht="13.8" x14ac:dyDescent="0.3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</row>
    <row r="953" spans="1:11" ht="13.8" x14ac:dyDescent="0.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</row>
    <row r="954" spans="1:11" ht="13.8" x14ac:dyDescent="0.3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</row>
    <row r="955" spans="1:11" ht="13.8" x14ac:dyDescent="0.3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</row>
    <row r="956" spans="1:11" ht="13.8" x14ac:dyDescent="0.3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</row>
    <row r="957" spans="1:11" ht="13.8" x14ac:dyDescent="0.3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</row>
    <row r="958" spans="1:11" ht="13.8" x14ac:dyDescent="0.3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</row>
    <row r="959" spans="1:11" ht="13.8" x14ac:dyDescent="0.3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</row>
    <row r="960" spans="1:11" ht="13.8" x14ac:dyDescent="0.3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</row>
    <row r="961" spans="1:11" ht="13.8" x14ac:dyDescent="0.3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</row>
    <row r="962" spans="1:11" ht="13.8" x14ac:dyDescent="0.3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</row>
    <row r="963" spans="1:11" ht="13.8" x14ac:dyDescent="0.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</row>
    <row r="964" spans="1:11" ht="13.8" x14ac:dyDescent="0.3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</row>
    <row r="965" spans="1:11" ht="13.8" x14ac:dyDescent="0.3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</row>
    <row r="966" spans="1:11" ht="13.8" x14ac:dyDescent="0.3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</row>
    <row r="967" spans="1:11" ht="13.8" x14ac:dyDescent="0.3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</row>
    <row r="968" spans="1:11" ht="13.8" x14ac:dyDescent="0.3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</row>
    <row r="969" spans="1:11" ht="13.8" x14ac:dyDescent="0.3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</row>
    <row r="970" spans="1:11" ht="13.8" x14ac:dyDescent="0.3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</row>
    <row r="971" spans="1:11" ht="13.8" x14ac:dyDescent="0.3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</row>
    <row r="972" spans="1:11" ht="13.8" x14ac:dyDescent="0.3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</row>
    <row r="973" spans="1:11" ht="13.8" x14ac:dyDescent="0.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</row>
    <row r="974" spans="1:11" ht="13.8" x14ac:dyDescent="0.3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</row>
    <row r="975" spans="1:11" ht="13.8" x14ac:dyDescent="0.3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</row>
    <row r="976" spans="1:11" ht="13.8" x14ac:dyDescent="0.3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</row>
    <row r="977" spans="1:11" ht="13.8" x14ac:dyDescent="0.3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</row>
    <row r="978" spans="1:11" ht="13.8" x14ac:dyDescent="0.3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</row>
    <row r="979" spans="1:11" ht="13.8" x14ac:dyDescent="0.3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</row>
    <row r="980" spans="1:11" ht="13.8" x14ac:dyDescent="0.3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</row>
    <row r="981" spans="1:11" ht="13.8" x14ac:dyDescent="0.3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</row>
    <row r="982" spans="1:11" ht="13.8" x14ac:dyDescent="0.3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</row>
    <row r="983" spans="1:11" ht="13.8" x14ac:dyDescent="0.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</row>
    <row r="984" spans="1:11" ht="13.8" x14ac:dyDescent="0.3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</row>
    <row r="985" spans="1:11" ht="13.8" x14ac:dyDescent="0.3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</row>
    <row r="986" spans="1:11" ht="13.8" x14ac:dyDescent="0.3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</row>
    <row r="987" spans="1:11" ht="13.8" x14ac:dyDescent="0.3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</row>
    <row r="988" spans="1:11" ht="13.8" x14ac:dyDescent="0.3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</row>
    <row r="989" spans="1:11" ht="13.8" x14ac:dyDescent="0.3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</row>
    <row r="990" spans="1:11" ht="13.8" x14ac:dyDescent="0.3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</row>
    <row r="991" spans="1:11" ht="13.8" x14ac:dyDescent="0.3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</row>
    <row r="992" spans="1:11" ht="13.8" x14ac:dyDescent="0.3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</row>
    <row r="993" spans="1:11" ht="13.8" x14ac:dyDescent="0.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</row>
    <row r="994" spans="1:11" ht="13.8" x14ac:dyDescent="0.3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</row>
    <row r="995" spans="1:11" ht="13.8" x14ac:dyDescent="0.3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</row>
    <row r="996" spans="1:11" ht="13.8" x14ac:dyDescent="0.3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</row>
    <row r="997" spans="1:11" ht="13.8" x14ac:dyDescent="0.3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</row>
    <row r="998" spans="1:11" ht="13.8" x14ac:dyDescent="0.3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</row>
    <row r="999" spans="1:11" ht="13.8" x14ac:dyDescent="0.3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</row>
    <row r="1000" spans="1:11" ht="13.8" x14ac:dyDescent="0.3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</row>
    <row r="1001" spans="1:11" ht="13.8" x14ac:dyDescent="0.3">
      <c r="A1001" s="114"/>
      <c r="B1001" s="114"/>
      <c r="C1001" s="114"/>
      <c r="D1001" s="114"/>
      <c r="E1001" s="114"/>
      <c r="F1001" s="114"/>
      <c r="G1001" s="114"/>
      <c r="H1001" s="114"/>
      <c r="I1001" s="114"/>
      <c r="J1001" s="114"/>
      <c r="K1001" s="114"/>
    </row>
  </sheetData>
  <mergeCells count="1">
    <mergeCell ref="A23:K23"/>
  </mergeCells>
  <phoneticPr fontId="35" type="noConversion"/>
  <conditionalFormatting sqref="E63 E65:E66 E72:E74 E76:E81 E83:E124 E126:E170">
    <cfRule type="notContainsBlanks" dxfId="0" priority="1">
      <formula>LEN(TRIM(E63))&gt;0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International(국제)</vt:lpstr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파파 HWANG</cp:lastModifiedBy>
  <dcterms:created xsi:type="dcterms:W3CDTF">2026-04-02T23:36:52Z</dcterms:created>
  <dcterms:modified xsi:type="dcterms:W3CDTF">2026-04-03T11:59:59Z</dcterms:modified>
</cp:coreProperties>
</file>